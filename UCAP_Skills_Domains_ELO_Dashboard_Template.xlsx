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Domains" sheetId="3" state="visible" r:id="rId5"/>
    <sheet name="Exit Level Outcomes" sheetId="4" state="visible" r:id="rId6"/>
    <sheet name="Domain-to-ELO Mapping" sheetId="5" state="visible" r:id="rId7"/>
    <sheet name="Skills Register" sheetId="6" state="visible" r:id="rId8"/>
    <sheet name="Lists" sheetId="7" state="visible" r:id="rId9"/>
  </sheets>
  <definedNames>
    <definedName function="false" hidden="true" localSheetId="5" name="_xlnm._FilterDatabase" vbProcedure="false">'Skills Register'!$A$3:$K$142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<sst xmlns="http://schemas.openxmlformats.org/spreadsheetml/2006/main" count="1155" uniqueCount="303">
  <si>
    <t xml:space="preserve">UCAP – Skills, Domains &amp; Exit Level Outcomes Dashboard Template</t>
  </si>
  <si>
    <t xml:space="preserve">Cape Peninsula University of Technology – Department of Emergency Medical Sciences</t>
  </si>
  <si>
    <t xml:space="preserve">PURPOSE</t>
  </si>
  <si>
    <t xml:space="preserve">This workbook links the UCAP clinical skills/capability list (HPCSA ECP student requirements) to a set of</t>
  </si>
  <si>
    <t xml:space="preserve">clinical practice DOMAINS, and links each Domain to the relevant Exit Level Outcomes (ELOs) of the three</t>
  </si>
  <si>
    <t xml:space="preserve">DEMS qualifications (Higher Certificate in EMC, Diploma in EMC, BHS in EMC). It is designed so a live</t>
  </si>
  <si>
    <t xml:space="preserve">dashboard (Sheet 'Dashboard') can be built on top of student/logbook data using SUMIFS/COUNTIFS by Domain.</t>
  </si>
  <si>
    <t xml:space="preserve">HOW TO USE</t>
  </si>
  <si>
    <t xml:space="preserve">1. 'Skills Register' – the master list of skills/capabilities (from UCAP.xlsx), each tagged with a Domain code.</t>
  </si>
  <si>
    <t xml:space="preserve">   Add a 'Student Count Achieved' column (or link to your source system) to drive live dashboard totals.</t>
  </si>
  <si>
    <t xml:space="preserve">2. 'Domains' – definitions of the 14 clinical domains used to group skills for dashboard reporting.</t>
  </si>
  <si>
    <t xml:space="preserve">3. 'Exit Level Outcomes' – full text of the Exit Level Outcomes for HC-EMC, Diploma-EMC and BHS-EMC.</t>
  </si>
  <si>
    <t xml:space="preserve">4. 'Domain-to-ELO Mapping' – shows which Exit Level Outcomes each Domain evidences, across all 3 qualifications.</t>
  </si>
  <si>
    <t xml:space="preserve">5. 'Dashboard' – template KPI/summary sheet: total required vs achieved counts per Domain, with formulas</t>
  </si>
  <si>
    <t xml:space="preserve">   (SUMIFS/COUNTIFS) referencing 'Skills Register'. Populate the yellow input cells with live/logbook data.</t>
  </si>
  <si>
    <t xml:space="preserve">6. 'Data Validation Lists' – lookup lists used for dropdowns (Domain codes, Qualification codes).</t>
  </si>
  <si>
    <t xml:space="preserve">COLOUR KEY</t>
  </si>
  <si>
    <t xml:space="preserve">Yellow fill = cell to be completed/edited with live data.</t>
  </si>
  <si>
    <t xml:space="preserve">Blue text = hardcoded input value.</t>
  </si>
  <si>
    <t xml:space="preserve">Black text = formula (do not overwrite).</t>
  </si>
  <si>
    <t xml:space="preserve">UCAP Skills Dashboard – Summary by Domain</t>
  </si>
  <si>
    <t xml:space="preserve">Live totals pull from 'Skills Register'. Fill 'Student Achieved Count' there to update this view.</t>
  </si>
  <si>
    <t xml:space="preserve">Domain Code</t>
  </si>
  <si>
    <t xml:space="preserve">Domain Name</t>
  </si>
  <si>
    <t xml:space="preserve">No. of Skills</t>
  </si>
  <si>
    <t xml:space="preserve">Total Target Count</t>
  </si>
  <si>
    <t xml:space="preserve">Total Achieved Count</t>
  </si>
  <si>
    <t xml:space="preserve">% Domain Achieved</t>
  </si>
  <si>
    <t xml:space="preserve">Domain RAG Status</t>
  </si>
  <si>
    <t xml:space="preserve">D01</t>
  </si>
  <si>
    <t xml:space="preserve">Patient Assessment &amp; History Taking</t>
  </si>
  <si>
    <t xml:space="preserve">D02</t>
  </si>
  <si>
    <t xml:space="preserve">Vital Signs &amp; Diagnostic Monitoring</t>
  </si>
  <si>
    <t xml:space="preserve">D03</t>
  </si>
  <si>
    <t xml:space="preserve">Airway Management &amp; Ventilatory Support</t>
  </si>
  <si>
    <t xml:space="preserve">D04</t>
  </si>
  <si>
    <t xml:space="preserve">Oxygen Therapy</t>
  </si>
  <si>
    <t xml:space="preserve">D05</t>
  </si>
  <si>
    <t xml:space="preserve">Circulatory Access &amp; Fluid/Infusion Therapy</t>
  </si>
  <si>
    <t xml:space="preserve">D06</t>
  </si>
  <si>
    <t xml:space="preserve">Medication Administration</t>
  </si>
  <si>
    <t xml:space="preserve">D07</t>
  </si>
  <si>
    <t xml:space="preserve">Cardiac Care &amp; Resuscitation</t>
  </si>
  <si>
    <t xml:space="preserve">D08</t>
  </si>
  <si>
    <t xml:space="preserve">Trauma Care, Immobilisation &amp; Extrication</t>
  </si>
  <si>
    <t xml:space="preserve">D09</t>
  </si>
  <si>
    <t xml:space="preserve">Haemorrhage &amp; Wound Care</t>
  </si>
  <si>
    <t xml:space="preserve">D10</t>
  </si>
  <si>
    <t xml:space="preserve">Obstetric &amp; Neonatal Care</t>
  </si>
  <si>
    <t xml:space="preserve">D11</t>
  </si>
  <si>
    <t xml:space="preserve">Paediatric-Specific Care</t>
  </si>
  <si>
    <t xml:space="preserve">D12</t>
  </si>
  <si>
    <t xml:space="preserve">Comprehensive Systems Assessment &amp; Special Diagnostics</t>
  </si>
  <si>
    <t xml:space="preserve">D13</t>
  </si>
  <si>
    <t xml:space="preserve">Patient Handling, Equipment &amp; Logistics</t>
  </si>
  <si>
    <t xml:space="preserve">D14</t>
  </si>
  <si>
    <t xml:space="preserve">Professional Practice &amp; End-of-Life Care</t>
  </si>
  <si>
    <t xml:space="preserve">OVERALL TOTAL</t>
  </si>
  <si>
    <t xml:space="preserve">UCAP Clinical Practice Domains</t>
  </si>
  <si>
    <t xml:space="preserve">Domain Description</t>
  </si>
  <si>
    <t xml:space="preserve">No. of Skills Mapped</t>
  </si>
  <si>
    <t xml:space="preserve">Foundational patient assessment, history-taking, GCS and primary/secondary survey skills.</t>
  </si>
  <si>
    <t xml:space="preserve">Measurement and monitoring of vital signs (BP, pulse, respirations, SpO2, temp, ECG, glucose).</t>
  </si>
  <si>
    <t xml:space="preserve">Airway assessment, intubation, ventilation, suctioning and RSI-related skills.</t>
  </si>
  <si>
    <t xml:space="preserve">Administration of supplemental oxygen via various delivery devices.</t>
  </si>
  <si>
    <t xml:space="preserve">IV/IO access, infusion devices, ABG sampling and haemodynamic monitoring.</t>
  </si>
  <si>
    <t xml:space="preserve">Administration of medication via all routes within scope of practice.</t>
  </si>
  <si>
    <t xml:space="preserve">CPR, defibrillation, pacing, cardioversion and related cardiac interventions.</t>
  </si>
  <si>
    <t xml:space="preserve">Spinal motion restriction, splinting, extrication and rescue-related trauma skills.</t>
  </si>
  <si>
    <t xml:space="preserve">Wound dressing, haemorrhage control and suturing.</t>
  </si>
  <si>
    <t xml:space="preserve">Antenatal, intrapartum, postnatal and neonatal care skills.</t>
  </si>
  <si>
    <t xml:space="preserve">Paediatric-specific assessment and intervention skills (cross-cutting with other domains).</t>
  </si>
  <si>
    <t xml:space="preserve">Focused systems examinations and special diagnostic techniques (fundoscopy, otoscopy, X-ray interpretation).</t>
  </si>
  <si>
    <t xml:space="preserve">Patient movement/lifting, stretcher/equipment use and catheterisation.</t>
  </si>
  <si>
    <t xml:space="preserve">Documentation, discharge decisions and end-of-life care communication.</t>
  </si>
  <si>
    <t xml:space="preserve">TOTAL SKILLS</t>
  </si>
  <si>
    <t xml:space="preserve">Exit Level Outcomes – DEMS Qualifications</t>
  </si>
  <si>
    <t xml:space="preserve">ELO Code</t>
  </si>
  <si>
    <t xml:space="preserve">Qualification</t>
  </si>
  <si>
    <t xml:space="preserve">Exit Level Outcome</t>
  </si>
  <si>
    <t xml:space="preserve">HC-ELO1</t>
  </si>
  <si>
    <t xml:space="preserve">Higher Certificate in Emergency Medical Care</t>
  </si>
  <si>
    <t xml:space="preserve">Demonstrate effective communication and apply the principles of medical ethics, professional behaviour and the legal framework, while maintaining personal health, physical preparedness, wellness and safety.</t>
  </si>
  <si>
    <t xml:space="preserve">HC-ELO2</t>
  </si>
  <si>
    <t xml:space="preserve">Demonstrate understanding of the structure and function of EMS systems in South Africa and their relation to broader health care structures.</t>
  </si>
  <si>
    <t xml:space="preserve">HC-ELO3</t>
  </si>
  <si>
    <t xml:space="preserve">Demonstrate knowledge and understanding of human and basic sciences underpinning emergency care.</t>
  </si>
  <si>
    <t xml:space="preserve">HC-ELO4</t>
  </si>
  <si>
    <t xml:space="preserve">Provide emergency medical care within an EMS environment to all sectors of the community within the Emergency Care Assistant's scope of capabilities.</t>
  </si>
  <si>
    <t xml:space="preserve">DIP-ELO1</t>
  </si>
  <si>
    <t xml:space="preserve">Diploma in Emergency Medical Care</t>
  </si>
  <si>
    <t xml:space="preserve">Articulate an understanding of the South African Health Care system, including the role and placement of the emergency services within the broader health sector.</t>
  </si>
  <si>
    <t xml:space="preserve">DIP-ELO2</t>
  </si>
  <si>
    <t xml:space="preserve">Perform appropriate clinical assessments and diagnostic skills.</t>
  </si>
  <si>
    <t xml:space="preserve">DIP-ELO3</t>
  </si>
  <si>
    <t xml:space="preserve">Integrate and apply knowledge and understanding of pathology to make informed decisions and clinical judgments regarding treatment.</t>
  </si>
  <si>
    <t xml:space="preserve">DIP-ELO4</t>
  </si>
  <si>
    <t xml:space="preserve">Perform clinical procedures, skills and treatment interventions within the Paramedic list of capabilities.</t>
  </si>
  <si>
    <t xml:space="preserve">DIP-ELO5</t>
  </si>
  <si>
    <t xml:space="preserve">Apply the principles of occupational and personal health and wellness, including identification and management of stress and burnout in oneself and others.</t>
  </si>
  <si>
    <t xml:space="preserve">DIP-ELO6</t>
  </si>
  <si>
    <t xml:space="preserve">Apply knowledge and understanding of human anatomy relevant to Paramedics.</t>
  </si>
  <si>
    <t xml:space="preserve">DIP-ELO7</t>
  </si>
  <si>
    <t xml:space="preserve">Apply an understanding of physiology and bioprocesses relevant to Paramedics.</t>
  </si>
  <si>
    <t xml:space="preserve">DIP-ELO8</t>
  </si>
  <si>
    <t xml:space="preserve">Apply the principles and theories of basic health sciences underpinning emergency care and rescue.</t>
  </si>
  <si>
    <t xml:space="preserve">DIP-ELO9</t>
  </si>
  <si>
    <t xml:space="preserve">Care for and operate equipment and resources required to render emergency care and rescue within the Paramedic list of capabilities.</t>
  </si>
  <si>
    <t xml:space="preserve">DIP-ELO10</t>
  </si>
  <si>
    <t xml:space="preserve">Demonstrate an appropriate level of physical health and physical preparedness to render emergency care and rescue.</t>
  </si>
  <si>
    <t xml:space="preserve">DIP-ELO11</t>
  </si>
  <si>
    <t xml:space="preserve">Perform rescue of victims in limited visibility and noxious environments, environments requiring rope-related techniques and vehicle-related entrapments.</t>
  </si>
  <si>
    <t xml:space="preserve">DIP-ELO12</t>
  </si>
  <si>
    <t xml:space="preserve">Document and communicate clinical information and patient care records.</t>
  </si>
  <si>
    <t xml:space="preserve">BHS-ELO4.1</t>
  </si>
  <si>
    <t xml:space="preserve">Bachelor of Health Sciences in Emergency Medical Care</t>
  </si>
  <si>
    <t xml:space="preserve">Demonstrate an understanding of the structure and functioning of the SA health care system and the role of the ECP within Emergency Medical and Rescue Services (EMRS).</t>
  </si>
  <si>
    <t xml:space="preserve">BHS-ELO4.2</t>
  </si>
  <si>
    <t xml:space="preserve">Demonstrate knowledge and understanding of basic sciences, human anatomy, physiology, pathophysiology and pharmacology underpinning the provision of emergency care.</t>
  </si>
  <si>
    <t xml:space="preserve">BHS-ELO4.3</t>
  </si>
  <si>
    <t xml:space="preserve">Demonstrate effective teamwork, leadership, communication and application of the principles of medical ethics and professional behaviour within the context in which ECPs operate.</t>
  </si>
  <si>
    <t xml:space="preserve">BHS-ELO4.4</t>
  </si>
  <si>
    <t xml:space="preserve">Develop and maintain appropriate levels of physical preparedness, mental health and wellness to safely and effectively render emergency care.</t>
  </si>
  <si>
    <t xml:space="preserve">BHS-ELO4.5</t>
  </si>
  <si>
    <t xml:space="preserve">Facilitate the provision of health advocacy, primary health care, emergency care and critical care retrieval services within the ECP scope of practice.</t>
  </si>
  <si>
    <t xml:space="preserve">BHS-ELO4.6</t>
  </si>
  <si>
    <t xml:space="preserve">Function as a member of a team engaging in public safety and medical rescue activities in a variety of prehospital emergency care contexts.</t>
  </si>
  <si>
    <t xml:space="preserve">BHS-ELO4.7</t>
  </si>
  <si>
    <t xml:space="preserve">Apply research principles and practices to facilitate professional development and lifelong learning.</t>
  </si>
  <si>
    <t xml:space="preserve">Domain-to-Exit Level Outcome Mapping</t>
  </si>
  <si>
    <t xml:space="preserve">Mapped ELOs – HC</t>
  </si>
  <si>
    <t xml:space="preserve">Mapped ELOs – Diploma</t>
  </si>
  <si>
    <t xml:space="preserve">Mapped ELOs – BHS (Degree)</t>
  </si>
  <si>
    <t xml:space="preserve">DIP-ELO2, DIP-ELO3</t>
  </si>
  <si>
    <t xml:space="preserve">BHS-ELO4.2, BHS-ELO4.5</t>
  </si>
  <si>
    <t xml:space="preserve">DIP-ELO4, DIP-ELO7</t>
  </si>
  <si>
    <t xml:space="preserve">DIP-ELO4, DIP-ELO8</t>
  </si>
  <si>
    <t xml:space="preserve">DIP-ELO4, DIP-ELO11</t>
  </si>
  <si>
    <t xml:space="preserve">BHS-ELO4.5, BHS-ELO4.6</t>
  </si>
  <si>
    <t xml:space="preserve">—</t>
  </si>
  <si>
    <t xml:space="preserve">DIP-ELO9, DIP-ELO10</t>
  </si>
  <si>
    <t xml:space="preserve">BHS-ELO4.4, BHS-ELO4.6</t>
  </si>
  <si>
    <t xml:space="preserve">DIP-ELO1, DIP-ELO12</t>
  </si>
  <si>
    <t xml:space="preserve">BHS-ELO4.3, BHS-ELO4.7</t>
  </si>
  <si>
    <t xml:space="preserve">UCAP Skills Register (HPCSA ECP Student Requirements)</t>
  </si>
  <si>
    <t xml:space="preserve">Skill / Capability Description</t>
  </si>
  <si>
    <t xml:space="preserve">HPCSA ECP Requirement (Target Count)</t>
  </si>
  <si>
    <t xml:space="preserve">What/How/Where Must Be Counted</t>
  </si>
  <si>
    <t xml:space="preserve">Mapped ELOs (HC)</t>
  </si>
  <si>
    <t xml:space="preserve">Mapped ELOs (Diploma)</t>
  </si>
  <si>
    <t xml:space="preserve">Mapped ELOs (BHS)</t>
  </si>
  <si>
    <t xml:space="preserve">Student Achieved Count</t>
  </si>
  <si>
    <t xml:space="preserve">% of Target Achieved</t>
  </si>
  <si>
    <t xml:space="preserve">RAG Status</t>
  </si>
  <si>
    <t xml:space="preserve">Total number of patients seen</t>
  </si>
  <si>
    <t xml:space="preserve">Patient encounter</t>
  </si>
  <si>
    <t xml:space="preserve">History-Taking (Registration Category Specific)- GENDERS</t>
  </si>
  <si>
    <t xml:space="preserve">History and Complaints - must click performed history</t>
  </si>
  <si>
    <t xml:space="preserve">General Physical Assessment: Medical</t>
  </si>
  <si>
    <t xml:space="preserve">Clinical Assessment -all fields , including primary and secondary assessment </t>
  </si>
  <si>
    <t xml:space="preserve">General Physical Assessment: Trauma</t>
  </si>
  <si>
    <t xml:space="preserve">Glasgow Coma Scale (GCS) Score</t>
  </si>
  <si>
    <t xml:space="preserve">Blood Pressure Measurement: Non Inasive Blood Pressure (NIBP)</t>
  </si>
  <si>
    <t xml:space="preserve">Vitals ansd intervention section </t>
  </si>
  <si>
    <t xml:space="preserve">Blood Pressure measurement: Manual Sphygmomanometer</t>
  </si>
  <si>
    <t xml:space="preserve">Use of a Electrocardiogram (ECG): 3/5-Lead</t>
  </si>
  <si>
    <t xml:space="preserve">Use of a ECG Monitor: 12/15-Lead</t>
  </si>
  <si>
    <t xml:space="preserve">Pulse (with characteristics) Measurement</t>
  </si>
  <si>
    <t xml:space="preserve">Respirations (with characteristics) Measurement</t>
  </si>
  <si>
    <t xml:space="preserve">Use of a Pulse Oximeter</t>
  </si>
  <si>
    <t xml:space="preserve">Blood Glucose Measurement: Visual (Test Strip)</t>
  </si>
  <si>
    <t xml:space="preserve">Blood Glucose Measurement: Use of Glucometer</t>
  </si>
  <si>
    <t xml:space="preserve">Temperature Measurement: Oral/Axillary/Skin</t>
  </si>
  <si>
    <t xml:space="preserve">Temperature Measurement: Tympanic</t>
  </si>
  <si>
    <t xml:space="preserve">Temperature Measurement: Rectal/Oesophageal</t>
  </si>
  <si>
    <t xml:space="preserve">Airway Assessment (with all characteristics described)</t>
  </si>
  <si>
    <t xml:space="preserve">Clinical Assessment -Lund Sounds, Detailed Airway assesment notes</t>
  </si>
  <si>
    <t xml:space="preserve">Out-of-Hospital Rapid Sequence Intubation (RSI): Medication Administration</t>
  </si>
  <si>
    <t xml:space="preserve">Vitals ansd intervention section - Add Airway Procedure</t>
  </si>
  <si>
    <t xml:space="preserve">Out-of-Hospital RSI : Clinical Decision Making</t>
  </si>
  <si>
    <t xml:space="preserve">Out-of-Hospital RSI: Management &amp; Control</t>
  </si>
  <si>
    <t xml:space="preserve">RSI: Medication Administration</t>
  </si>
  <si>
    <t xml:space="preserve">RSI: Clinical Decision Making</t>
  </si>
  <si>
    <t xml:space="preserve">RSI: Management &amp; Control</t>
  </si>
  <si>
    <t xml:space="preserve">Oral Endotracheal Intubation - Routine</t>
  </si>
  <si>
    <t xml:space="preserve">Nasal Intubation - Routine</t>
  </si>
  <si>
    <t xml:space="preserve">Video-Assisted Laryngoscopy</t>
  </si>
  <si>
    <t xml:space="preserve">Bag-valve-mask Ventilation (or equivalent)</t>
  </si>
  <si>
    <t xml:space="preserve">Bag-valve-tube Ventilation (or equivalent)</t>
  </si>
  <si>
    <t xml:space="preserve">Use of a Bougie or equivalent</t>
  </si>
  <si>
    <t xml:space="preserve">Use of Supraglottic/Extraglottic Device</t>
  </si>
  <si>
    <t xml:space="preserve">Use of an Oropharyngeal/Nasopharyngeal Tube (OPT/NPT)</t>
  </si>
  <si>
    <t xml:space="preserve">Suctioning: Oropharynx/Nasopharynx</t>
  </si>
  <si>
    <t xml:space="preserve">Suctioning: Endotracheal Tube/Tracheostomy</t>
  </si>
  <si>
    <t xml:space="preserve">Suctioning: Supraglottic/Extraglottic Device</t>
  </si>
  <si>
    <t xml:space="preserve">Manual Airway Manoeuvre</t>
  </si>
  <si>
    <t xml:space="preserve">Surgical Cricothyroidotomy</t>
  </si>
  <si>
    <t xml:space="preserve">Finger Sweep</t>
  </si>
  <si>
    <t xml:space="preserve">Removal of Foreign Body/Manual Airway Obstruction Manoeuvre</t>
  </si>
  <si>
    <t xml:space="preserve">Naso/Orogastric Intubation</t>
  </si>
  <si>
    <t xml:space="preserve">Use of a Mechanical Ventilator</t>
  </si>
  <si>
    <t xml:space="preserve">Mechanical Ventilator: Non-Invasive Ventilation</t>
  </si>
  <si>
    <t xml:space="preserve">Non-Invasive Ventilation (manual device)</t>
  </si>
  <si>
    <t xml:space="preserve">Use of endotracheal/extraglottic confirmation device</t>
  </si>
  <si>
    <t xml:space="preserve">Mask Oxygen Administration</t>
  </si>
  <si>
    <t xml:space="preserve">Nasal Cannula Oxygen Administration</t>
  </si>
  <si>
    <t xml:space="preserve">Nebulised Oxygen Administration</t>
  </si>
  <si>
    <t xml:space="preserve">Transtracheal Jet Ventilation</t>
  </si>
  <si>
    <t xml:space="preserve">Needle Thoracentesis</t>
  </si>
  <si>
    <t xml:space="preserve">Intraosseous (IO) Infusion -Adult Limb (Cannulation and Attachment)</t>
  </si>
  <si>
    <t xml:space="preserve">Intravenous (IV) Infusion - External Jugular (Cannulation and Attachment)</t>
  </si>
  <si>
    <t xml:space="preserve">Intravenous Infusion - Peripheral Limb (Cannulation and Attachment)</t>
  </si>
  <si>
    <t xml:space="preserve">Oral Rehydration</t>
  </si>
  <si>
    <t xml:space="preserve">Oral Rehydration (via naso/orogastric tube)</t>
  </si>
  <si>
    <t xml:space="preserve">Mask Oxygen Administration - Paediatric</t>
  </si>
  <si>
    <t xml:space="preserve">Nasal Cannula Oxygen Administration- Paediatric</t>
  </si>
  <si>
    <t xml:space="preserve">Use of a ECG Monitor: 3-Lead- Paediatric</t>
  </si>
  <si>
    <t xml:space="preserve">Use of a Pulse Oximeter- Paediatric</t>
  </si>
  <si>
    <t xml:space="preserve">General Physical Assessment: Medical- Paediatric</t>
  </si>
  <si>
    <t xml:space="preserve">General Physical Assessment: Trauma- Paediatric</t>
  </si>
  <si>
    <t xml:space="preserve">History Taking- Paediatric</t>
  </si>
  <si>
    <t xml:space="preserve">GCS Score- Paediatric</t>
  </si>
  <si>
    <t xml:space="preserve">Blood Glucose: Glucometer- Paediatric</t>
  </si>
  <si>
    <t xml:space="preserve">Blood Pressure measurement: NIBP- Paediatric</t>
  </si>
  <si>
    <t xml:space="preserve">Blood Pressure measurement: Manual Sphygmomanometer - Paediatric</t>
  </si>
  <si>
    <t xml:space="preserve">Pulse measurement - Paediatric</t>
  </si>
  <si>
    <t xml:space="preserve">Respirations measurement - Paediatric</t>
  </si>
  <si>
    <t xml:space="preserve">Temperature (non-invasive): Paediatric</t>
  </si>
  <si>
    <t xml:space="preserve">APGAR Score</t>
  </si>
  <si>
    <t xml:space="preserve">Intravenous Infusion - Umbilical Vein (Cannulation and Attachment)</t>
  </si>
  <si>
    <t xml:space="preserve">Scalp Cannulation</t>
  </si>
  <si>
    <t xml:space="preserve">Intraosseous (IO) Infusion -Paediatric Limb (Cannulation and Attachment)</t>
  </si>
  <si>
    <t xml:space="preserve">Invasive Haemodynamic Monitoring</t>
  </si>
  <si>
    <t xml:space="preserve">Monitoring and assessment of Central Line/Central Venous Pressure</t>
  </si>
  <si>
    <t xml:space="preserve">Setup/Monitoring of Infusion Device: Infusion Pump (must demonstrate setting change if monitoring only)</t>
  </si>
  <si>
    <t xml:space="preserve">Setup/Monitoring of Infusion Device: Syringe Driver (must demonstrate setting change if monitoring only)</t>
  </si>
  <si>
    <t xml:space="preserve">Use of a Manual Pressure Infuser</t>
  </si>
  <si>
    <t xml:space="preserve">Arterial Blood Gas Sampling and Analysis</t>
  </si>
  <si>
    <t xml:space="preserve">Intramuscular Medication Administration</t>
  </si>
  <si>
    <t xml:space="preserve">Subcutaneous Medication Administration</t>
  </si>
  <si>
    <t xml:space="preserve">IV/IO Medication Administration</t>
  </si>
  <si>
    <t xml:space="preserve">Nebulised Medication Administration</t>
  </si>
  <si>
    <t xml:space="preserve">Oral Medication Administration</t>
  </si>
  <si>
    <t xml:space="preserve">Rectal Medication Administration</t>
  </si>
  <si>
    <t xml:space="preserve">Sublingual Medication Administration</t>
  </si>
  <si>
    <t xml:space="preserve">Buccal/Nasal Medication Administration</t>
  </si>
  <si>
    <t xml:space="preserve">Cardiopulmonary (CPR) - Adult</t>
  </si>
  <si>
    <t xml:space="preserve">CPR-Child/Infant</t>
  </si>
  <si>
    <t xml:space="preserve">CPR-Neonate</t>
  </si>
  <si>
    <t xml:space="preserve">Defibrillation-Automated External Defibrillator</t>
  </si>
  <si>
    <t xml:space="preserve">Manual Defibrillation</t>
  </si>
  <si>
    <t xml:space="preserve">Precordial Thump</t>
  </si>
  <si>
    <t xml:space="preserve">Spinal Motion Restriction/Immobilisation</t>
  </si>
  <si>
    <t xml:space="preserve">Use of an Extrication Device</t>
  </si>
  <si>
    <t xml:space="preserve">Use of a Vacuum Mattress</t>
  </si>
  <si>
    <t xml:space="preserve">Use of Limb Immobilisation Device (including traction devices)</t>
  </si>
  <si>
    <t xml:space="preserve">Use of a Pelvic Stabilisation Device</t>
  </si>
  <si>
    <t xml:space="preserve">Normal Vaginal Delivery</t>
  </si>
  <si>
    <t xml:space="preserve">Breech Delivery (assisted and unassisted)</t>
  </si>
  <si>
    <t xml:space="preserve">Care of Prolapsed Umbilical Cord</t>
  </si>
  <si>
    <t xml:space="preserve">Ante-natal Examination</t>
  </si>
  <si>
    <t xml:space="preserve">Post-natal Examination</t>
  </si>
  <si>
    <t xml:space="preserve">Fundal Massage</t>
  </si>
  <si>
    <t xml:space="preserve">Tocolysis</t>
  </si>
  <si>
    <t xml:space="preserve">Transcutaneous External Pacing</t>
  </si>
  <si>
    <t xml:space="preserve">Synchronised Cardioversion</t>
  </si>
  <si>
    <t xml:space="preserve">Use of Wound Dressing (including pressure dressings)</t>
  </si>
  <si>
    <t xml:space="preserve">Use of a Pneumatic Anti-Shock Garment</t>
  </si>
  <si>
    <t xml:space="preserve">Use of Non-Pneumatic Anti-Shock Garment</t>
  </si>
  <si>
    <t xml:space="preserve">Use of a Tourniquet</t>
  </si>
  <si>
    <t xml:space="preserve">Use of a Topical Haemostatic Agent</t>
  </si>
  <si>
    <t xml:space="preserve">Care of Impaled Objects</t>
  </si>
  <si>
    <t xml:space="preserve">Urinary Catheterisation: Male</t>
  </si>
  <si>
    <t xml:space="preserve">Urinary Catheterisation: Female</t>
  </si>
  <si>
    <t xml:space="preserve">Vagal Manoeuvres</t>
  </si>
  <si>
    <t xml:space="preserve">Use of a Stretcher</t>
  </si>
  <si>
    <t xml:space="preserve">Use of a Stair-stretcher/chair</t>
  </si>
  <si>
    <t xml:space="preserve">Use of a Peak-Flow Meter</t>
  </si>
  <si>
    <t xml:space="preserve">Thrombolysis</t>
  </si>
  <si>
    <t xml:space="preserve">Suturing</t>
  </si>
  <si>
    <t xml:space="preserve">Patient Lifting and Carrying</t>
  </si>
  <si>
    <t xml:space="preserve">Use of a Doppler/Ultrasound</t>
  </si>
  <si>
    <t xml:space="preserve">Death Notification</t>
  </si>
  <si>
    <t xml:space="preserve">Declaration of Death</t>
  </si>
  <si>
    <t xml:space="preserve">Comprehensive Respiratory System Assessment Leading to Working Diagnosis</t>
  </si>
  <si>
    <t xml:space="preserve">Comprehensive Cardiovascular Assessment Leading to Working Diagnosis</t>
  </si>
  <si>
    <t xml:space="preserve">Comprehensive Abdominal Assessment Leading to Working Diagnosis</t>
  </si>
  <si>
    <t xml:space="preserve">Comprehensive Genito-Urinary Assessment Leading to Working Diagnosis</t>
  </si>
  <si>
    <t xml:space="preserve">Comprehensive Musculo-Skeletal Assessment Leading to Working Diagnosis</t>
  </si>
  <si>
    <t xml:space="preserve">Comprehensive Peripheral Vascular Assessment Leading to Working Diagnosis</t>
  </si>
  <si>
    <t xml:space="preserve">Fundoscopy with Definitive Finding</t>
  </si>
  <si>
    <t xml:space="preserve">Otoscopy with Definitive Finding</t>
  </si>
  <si>
    <t xml:space="preserve">X-ray Interpretation: Chest</t>
  </si>
  <si>
    <t xml:space="preserve">Care of Intra-Aoritc Balloon Pump</t>
  </si>
  <si>
    <t xml:space="preserve">Care of Transvenous Pacemaker</t>
  </si>
  <si>
    <t xml:space="preserve">On-scene Discharge</t>
  </si>
  <si>
    <t xml:space="preserve">Clearance of Cervical Spine using Recognised Technique</t>
  </si>
  <si>
    <t xml:space="preserve">Targeted Temperature Management</t>
  </si>
  <si>
    <t xml:space="preserve">Setup and Monitoring of an Incubator</t>
  </si>
  <si>
    <t xml:space="preserve">Qualification Code</t>
  </si>
  <si>
    <t xml:space="preserve">HC</t>
  </si>
  <si>
    <t xml:space="preserve">DIP</t>
  </si>
  <si>
    <t xml:space="preserve">BHS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</si>
</sst>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Target vs Achieved Count by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Dashboard!D4</c:f>
              <c:strCache>
                <c:ptCount val="1"/>
                <c:pt idx="0">
                  <c:v>Total Target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Dashboard!$A$5:$A$18</c:f>
              <c:strCache>
                <c:ptCount val="14"/>
                <c:pt idx="0">
                  <c:v>D01</c:v>
                </c:pt>
                <c:pt idx="1">
                  <c:v>D02</c:v>
                </c:pt>
                <c:pt idx="2">
                  <c:v>D03</c:v>
                </c:pt>
                <c:pt idx="3">
                  <c:v>D04</c:v>
                </c:pt>
                <c:pt idx="4">
                  <c:v>D05</c:v>
                </c:pt>
                <c:pt idx="5">
                  <c:v>D06</c:v>
                </c:pt>
                <c:pt idx="6">
                  <c:v>D07</c:v>
                </c:pt>
                <c:pt idx="7">
                  <c:v>D08</c:v>
                </c:pt>
                <c:pt idx="8">
                  <c:v>D09</c:v>
                </c:pt>
                <c:pt idx="9">
                  <c:v>D10</c:v>
                </c:pt>
                <c:pt idx="10">
                  <c:v>D11</c:v>
                </c:pt>
                <c:pt idx="11">
                  <c:v>D12</c:v>
                </c:pt>
                <c:pt idx="12">
                  <c:v>D13</c:v>
                </c:pt>
                <c:pt idx="13">
                  <c:v>D14</c:v>
                </c:pt>
              </c:strCache>
            </c:strRef>
          </c:cat>
          <c:val>
            <c:numRef>
              <c:f>Dashboard!$D$5:$D$18</c:f>
              <c:numCache>
                <c:formatCode>General</c:formatCode>
                <c:ptCount val="14"/>
                <c:pt idx="0">
                  <c:v>1105</c:v>
                </c:pt>
                <c:pt idx="1">
                  <c:v>1794</c:v>
                </c:pt>
                <c:pt idx="2">
                  <c:v>299</c:v>
                </c:pt>
                <c:pt idx="3">
                  <c:v>93</c:v>
                </c:pt>
                <c:pt idx="4">
                  <c:v>169</c:v>
                </c:pt>
                <c:pt idx="5">
                  <c:v>140</c:v>
                </c:pt>
                <c:pt idx="6">
                  <c:v>7</c:v>
                </c:pt>
                <c:pt idx="7">
                  <c:v>36</c:v>
                </c:pt>
                <c:pt idx="8">
                  <c:v>56</c:v>
                </c:pt>
                <c:pt idx="9">
                  <c:v>33</c:v>
                </c:pt>
                <c:pt idx="10">
                  <c:v>41</c:v>
                </c:pt>
                <c:pt idx="11">
                  <c:v>335</c:v>
                </c:pt>
                <c:pt idx="12">
                  <c:v>95</c:v>
                </c:pt>
                <c:pt idx="13">
                  <c:v>465</c:v>
                </c:pt>
              </c:numCache>
            </c:numRef>
          </c:val>
        </c:ser>
        <c:ser>
          <c:idx val="1"/>
          <c:order val="1"/>
          <c:tx>
            <c:strRef>
              <c:f>Dashboard!E4</c:f>
              <c:strCache>
                <c:ptCount val="1"/>
                <c:pt idx="0">
                  <c:v>Total Achieved Count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Dashboard!$A$5:$A$18</c:f>
              <c:strCache>
                <c:ptCount val="14"/>
                <c:pt idx="0">
                  <c:v>D01</c:v>
                </c:pt>
                <c:pt idx="1">
                  <c:v>D02</c:v>
                </c:pt>
                <c:pt idx="2">
                  <c:v>D03</c:v>
                </c:pt>
                <c:pt idx="3">
                  <c:v>D04</c:v>
                </c:pt>
                <c:pt idx="4">
                  <c:v>D05</c:v>
                </c:pt>
                <c:pt idx="5">
                  <c:v>D06</c:v>
                </c:pt>
                <c:pt idx="6">
                  <c:v>D07</c:v>
                </c:pt>
                <c:pt idx="7">
                  <c:v>D08</c:v>
                </c:pt>
                <c:pt idx="8">
                  <c:v>D09</c:v>
                </c:pt>
                <c:pt idx="9">
                  <c:v>D10</c:v>
                </c:pt>
                <c:pt idx="10">
                  <c:v>D11</c:v>
                </c:pt>
                <c:pt idx="11">
                  <c:v>D12</c:v>
                </c:pt>
                <c:pt idx="12">
                  <c:v>D13</c:v>
                </c:pt>
                <c:pt idx="13">
                  <c:v>D14</c:v>
                </c:pt>
              </c:strCache>
            </c:strRef>
          </c:cat>
          <c:val>
            <c:numRef>
              <c:f>Dashboard!$E$5:$E$18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150"/>
        <c:overlap val="0"/>
        <c:axId val="40122753"/>
        <c:axId val="38785238"/>
      </c:barChart>
      <c:catAx>
        <c:axId val="401227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Domain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85238"/>
        <c:crosses val="autoZero"/>
        <c:auto val="1"/>
        <c:lblAlgn val="ctr"/>
        <c:lblOffset val="100"/>
        <c:noMultiLvlLbl val="0"/>
      </c:catAx>
      <c:valAx>
        <c:axId val="38785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227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10080</xdr:rowOff>
    </xdr:from>
    <xdr:to>
      <xdr:col>8</xdr:col>
      <xdr:colOff>289800</xdr:colOff>
      <xdr:row>37</xdr:row>
      <xdr:rowOff>180720</xdr:rowOff>
    </xdr:to>
    <xdr:graphicFrame>
      <xdr:nvGraphicFramePr>
        <xdr:cNvPr id="0" name="Chart 1"/>
        <xdr:cNvGraphicFramePr/>
      </xdr:nvGraphicFramePr>
      <xdr:xfrm>
        <a:off x="0" y="380988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0" t="s">
        <v>10</v>
      </c>
    </row>
    <row r="14" customFormat="false" ht="15" hidden="false" customHeight="false" outlineLevel="0" collapsed="false">
      <c r="A14" s="0" t="s">
        <v>11</v>
      </c>
    </row>
    <row r="15" customFormat="false" ht="15" hidden="false" customHeight="false" outlineLevel="0" collapsed="false">
      <c r="A15" s="0" t="s">
        <v>12</v>
      </c>
    </row>
    <row r="16" customFormat="false" ht="15" hidden="false" customHeight="false" outlineLevel="0" collapsed="false">
      <c r="A16" s="0" t="s">
        <v>13</v>
      </c>
    </row>
    <row r="17" customFormat="false" ht="15" hidden="false" customHeight="false" outlineLevel="0" collapsed="false">
      <c r="A17" s="4" t="s">
        <v>14</v>
      </c>
    </row>
    <row r="18" customFormat="false" ht="15" hidden="false" customHeight="false" outlineLevel="0" collapsed="false">
      <c r="A18" s="0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4" t="s">
        <v>19</v>
      </c>
    </row>
    <row r="25" customFormat="false" ht="15" hidden="false" customHeight="false" outlineLevel="0" collapsed="false">
      <c r="A25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26.85" hidden="false" customHeight="false" outlineLevel="0" collapsed="false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</row>
    <row r="5" customFormat="false" ht="15" hidden="false" customHeight="false" outlineLevel="0" collapsed="false">
      <c r="A5" s="7" t="s">
        <v>29</v>
      </c>
      <c r="B5" s="8" t="s">
        <v>30</v>
      </c>
      <c r="C5" s="9" t="n">
        <f aca="false">COUNTIF('Skills Register'!$D$4:$D$142,A5)</f>
        <v>10</v>
      </c>
      <c r="D5" s="9" t="n">
        <f aca="false">SUMIF('Skills Register'!$D$4:$D$142,A5,'Skills Register'!$B$4:$B$142)</f>
        <v>1105</v>
      </c>
      <c r="E5" s="9" t="n">
        <f aca="false">SUMIF('Skills Register'!$D$4:$D$142,A5,'Skills Register'!$I$4:$I$142)</f>
        <v>0</v>
      </c>
      <c r="F5" s="10" t="n">
        <f aca="false">IFERROR(E5/D5,0)</f>
        <v>0</v>
      </c>
      <c r="G5" s="11" t="str">
        <f aca="false">IF(F5&gt;=1,"Achieved",IF(F5&gt;=0.5,"In Progress","Not Started"))</f>
        <v>Not Started</v>
      </c>
    </row>
    <row r="6" customFormat="false" ht="15" hidden="false" customHeight="false" outlineLevel="0" collapsed="false">
      <c r="A6" s="7" t="s">
        <v>31</v>
      </c>
      <c r="B6" s="8" t="s">
        <v>32</v>
      </c>
      <c r="C6" s="9" t="n">
        <f aca="false">COUNTIF('Skills Register'!$D$4:$D$142,A6)</f>
        <v>23</v>
      </c>
      <c r="D6" s="9" t="n">
        <f aca="false">SUMIF('Skills Register'!$D$4:$D$142,A6,'Skills Register'!$B$4:$B$142)</f>
        <v>1794</v>
      </c>
      <c r="E6" s="9" t="n">
        <f aca="false">SUMIF('Skills Register'!$D$4:$D$142,A6,'Skills Register'!$I$4:$I$142)</f>
        <v>0</v>
      </c>
      <c r="F6" s="10" t="n">
        <f aca="false">IFERROR(E6/D6,0)</f>
        <v>0</v>
      </c>
      <c r="G6" s="11" t="str">
        <f aca="false">IF(F6&gt;=1,"Achieved",IF(F6&gt;=0.5,"In Progress","Not Started"))</f>
        <v>Not Started</v>
      </c>
    </row>
    <row r="7" customFormat="false" ht="15" hidden="false" customHeight="false" outlineLevel="0" collapsed="false">
      <c r="A7" s="7" t="s">
        <v>33</v>
      </c>
      <c r="B7" s="8" t="s">
        <v>34</v>
      </c>
      <c r="C7" s="9" t="n">
        <f aca="false">COUNTIF('Skills Register'!$D$4:$D$142,A7)</f>
        <v>30</v>
      </c>
      <c r="D7" s="9" t="n">
        <f aca="false">SUMIF('Skills Register'!$D$4:$D$142,A7,'Skills Register'!$B$4:$B$142)</f>
        <v>299</v>
      </c>
      <c r="E7" s="9" t="n">
        <f aca="false">SUMIF('Skills Register'!$D$4:$D$142,A7,'Skills Register'!$I$4:$I$142)</f>
        <v>0</v>
      </c>
      <c r="F7" s="10" t="n">
        <f aca="false">IFERROR(E7/D7,0)</f>
        <v>0</v>
      </c>
      <c r="G7" s="11" t="str">
        <f aca="false">IF(F7&gt;=1,"Achieved",IF(F7&gt;=0.5,"In Progress","Not Started"))</f>
        <v>Not Started</v>
      </c>
    </row>
    <row r="8" customFormat="false" ht="15" hidden="false" customHeight="false" outlineLevel="0" collapsed="false">
      <c r="A8" s="7" t="s">
        <v>35</v>
      </c>
      <c r="B8" s="8" t="s">
        <v>36</v>
      </c>
      <c r="C8" s="9" t="n">
        <f aca="false">COUNTIF('Skills Register'!$D$4:$D$142,A8)</f>
        <v>5</v>
      </c>
      <c r="D8" s="9" t="n">
        <f aca="false">SUMIF('Skills Register'!$D$4:$D$142,A8,'Skills Register'!$B$4:$B$142)</f>
        <v>93</v>
      </c>
      <c r="E8" s="9" t="n">
        <f aca="false">SUMIF('Skills Register'!$D$4:$D$142,A8,'Skills Register'!$I$4:$I$142)</f>
        <v>0</v>
      </c>
      <c r="F8" s="10" t="n">
        <f aca="false">IFERROR(E8/D8,0)</f>
        <v>0</v>
      </c>
      <c r="G8" s="11" t="str">
        <f aca="false">IF(F8&gt;=1,"Achieved",IF(F8&gt;=0.5,"In Progress","Not Started"))</f>
        <v>Not Started</v>
      </c>
    </row>
    <row r="9" customFormat="false" ht="15" hidden="false" customHeight="false" outlineLevel="0" collapsed="false">
      <c r="A9" s="7" t="s">
        <v>37</v>
      </c>
      <c r="B9" s="8" t="s">
        <v>38</v>
      </c>
      <c r="C9" s="9" t="n">
        <f aca="false">COUNTIF('Skills Register'!$D$4:$D$142,A9)</f>
        <v>13</v>
      </c>
      <c r="D9" s="9" t="n">
        <f aca="false">SUMIF('Skills Register'!$D$4:$D$142,A9,'Skills Register'!$B$4:$B$142)</f>
        <v>169</v>
      </c>
      <c r="E9" s="9" t="n">
        <f aca="false">SUMIF('Skills Register'!$D$4:$D$142,A9,'Skills Register'!$I$4:$I$142)</f>
        <v>0</v>
      </c>
      <c r="F9" s="10" t="n">
        <f aca="false">IFERROR(E9/D9,0)</f>
        <v>0</v>
      </c>
      <c r="G9" s="11" t="str">
        <f aca="false">IF(F9&gt;=1,"Achieved",IF(F9&gt;=0.5,"In Progress","Not Started"))</f>
        <v>Not Started</v>
      </c>
    </row>
    <row r="10" customFormat="false" ht="15" hidden="false" customHeight="false" outlineLevel="0" collapsed="false">
      <c r="A10" s="7" t="s">
        <v>39</v>
      </c>
      <c r="B10" s="8" t="s">
        <v>40</v>
      </c>
      <c r="C10" s="9" t="n">
        <f aca="false">COUNTIF('Skills Register'!$D$4:$D$142,A10)</f>
        <v>8</v>
      </c>
      <c r="D10" s="9" t="n">
        <f aca="false">SUMIF('Skills Register'!$D$4:$D$142,A10,'Skills Register'!$B$4:$B$142)</f>
        <v>140</v>
      </c>
      <c r="E10" s="9" t="n">
        <f aca="false">SUMIF('Skills Register'!$D$4:$D$142,A10,'Skills Register'!$I$4:$I$142)</f>
        <v>0</v>
      </c>
      <c r="F10" s="10" t="n">
        <f aca="false">IFERROR(E10/D10,0)</f>
        <v>0</v>
      </c>
      <c r="G10" s="11" t="str">
        <f aca="false">IF(F10&gt;=1,"Achieved",IF(F10&gt;=0.5,"In Progress","Not Started"))</f>
        <v>Not Started</v>
      </c>
    </row>
    <row r="11" customFormat="false" ht="15" hidden="false" customHeight="false" outlineLevel="0" collapsed="false">
      <c r="A11" s="7" t="s">
        <v>41</v>
      </c>
      <c r="B11" s="8" t="s">
        <v>42</v>
      </c>
      <c r="C11" s="9" t="n">
        <f aca="false">COUNTIF('Skills Register'!$D$4:$D$142,A11)</f>
        <v>11</v>
      </c>
      <c r="D11" s="9" t="n">
        <f aca="false">SUMIF('Skills Register'!$D$4:$D$142,A11,'Skills Register'!$B$4:$B$142)</f>
        <v>7</v>
      </c>
      <c r="E11" s="9" t="n">
        <f aca="false">SUMIF('Skills Register'!$D$4:$D$142,A11,'Skills Register'!$I$4:$I$142)</f>
        <v>0</v>
      </c>
      <c r="F11" s="10" t="n">
        <f aca="false">IFERROR(E11/D11,0)</f>
        <v>0</v>
      </c>
      <c r="G11" s="11" t="str">
        <f aca="false">IF(F11&gt;=1,"Achieved",IF(F11&gt;=0.5,"In Progress","Not Started"))</f>
        <v>Not Started</v>
      </c>
    </row>
    <row r="12" customFormat="false" ht="15" hidden="false" customHeight="false" outlineLevel="0" collapsed="false">
      <c r="A12" s="7" t="s">
        <v>43</v>
      </c>
      <c r="B12" s="8" t="s">
        <v>44</v>
      </c>
      <c r="C12" s="9" t="n">
        <f aca="false">COUNTIF('Skills Register'!$D$4:$D$142,A12)</f>
        <v>6</v>
      </c>
      <c r="D12" s="9" t="n">
        <f aca="false">SUMIF('Skills Register'!$D$4:$D$142,A12,'Skills Register'!$B$4:$B$142)</f>
        <v>36</v>
      </c>
      <c r="E12" s="9" t="n">
        <f aca="false">SUMIF('Skills Register'!$D$4:$D$142,A12,'Skills Register'!$I$4:$I$142)</f>
        <v>0</v>
      </c>
      <c r="F12" s="10" t="n">
        <f aca="false">IFERROR(E12/D12,0)</f>
        <v>0</v>
      </c>
      <c r="G12" s="11" t="str">
        <f aca="false">IF(F12&gt;=1,"Achieved",IF(F12&gt;=0.5,"In Progress","Not Started"))</f>
        <v>Not Started</v>
      </c>
    </row>
    <row r="13" customFormat="false" ht="15" hidden="false" customHeight="false" outlineLevel="0" collapsed="false">
      <c r="A13" s="7" t="s">
        <v>45</v>
      </c>
      <c r="B13" s="8" t="s">
        <v>46</v>
      </c>
      <c r="C13" s="9" t="n">
        <f aca="false">COUNTIF('Skills Register'!$D$4:$D$142,A13)</f>
        <v>6</v>
      </c>
      <c r="D13" s="9" t="n">
        <f aca="false">SUMIF('Skills Register'!$D$4:$D$142,A13,'Skills Register'!$B$4:$B$142)</f>
        <v>56</v>
      </c>
      <c r="E13" s="9" t="n">
        <f aca="false">SUMIF('Skills Register'!$D$4:$D$142,A13,'Skills Register'!$I$4:$I$142)</f>
        <v>0</v>
      </c>
      <c r="F13" s="10" t="n">
        <f aca="false">IFERROR(E13/D13,0)</f>
        <v>0</v>
      </c>
      <c r="G13" s="11" t="str">
        <f aca="false">IF(F13&gt;=1,"Achieved",IF(F13&gt;=0.5,"In Progress","Not Started"))</f>
        <v>Not Started</v>
      </c>
    </row>
    <row r="14" customFormat="false" ht="15" hidden="false" customHeight="false" outlineLevel="0" collapsed="false">
      <c r="A14" s="7" t="s">
        <v>47</v>
      </c>
      <c r="B14" s="8" t="s">
        <v>48</v>
      </c>
      <c r="C14" s="9" t="n">
        <f aca="false">COUNTIF('Skills Register'!$D$4:$D$142,A14)</f>
        <v>8</v>
      </c>
      <c r="D14" s="9" t="n">
        <f aca="false">SUMIF('Skills Register'!$D$4:$D$142,A14,'Skills Register'!$B$4:$B$142)</f>
        <v>33</v>
      </c>
      <c r="E14" s="9" t="n">
        <f aca="false">SUMIF('Skills Register'!$D$4:$D$142,A14,'Skills Register'!$I$4:$I$142)</f>
        <v>0</v>
      </c>
      <c r="F14" s="10" t="n">
        <f aca="false">IFERROR(E14/D14,0)</f>
        <v>0</v>
      </c>
      <c r="G14" s="11" t="str">
        <f aca="false">IF(F14&gt;=1,"Achieved",IF(F14&gt;=0.5,"In Progress","Not Started"))</f>
        <v>Not Started</v>
      </c>
    </row>
    <row r="15" customFormat="false" ht="15" hidden="false" customHeight="false" outlineLevel="0" collapsed="false">
      <c r="A15" s="7" t="s">
        <v>49</v>
      </c>
      <c r="B15" s="8" t="s">
        <v>50</v>
      </c>
      <c r="C15" s="9" t="n">
        <f aca="false">COUNTIF('Skills Register'!$D$4:$D$142,A15)</f>
        <v>2</v>
      </c>
      <c r="D15" s="9" t="n">
        <f aca="false">SUMIF('Skills Register'!$D$4:$D$142,A15,'Skills Register'!$B$4:$B$142)</f>
        <v>41</v>
      </c>
      <c r="E15" s="9" t="n">
        <f aca="false">SUMIF('Skills Register'!$D$4:$D$142,A15,'Skills Register'!$I$4:$I$142)</f>
        <v>0</v>
      </c>
      <c r="F15" s="10" t="n">
        <f aca="false">IFERROR(E15/D15,0)</f>
        <v>0</v>
      </c>
      <c r="G15" s="11" t="str">
        <f aca="false">IF(F15&gt;=1,"Achieved",IF(F15&gt;=0.5,"In Progress","Not Started"))</f>
        <v>Not Started</v>
      </c>
    </row>
    <row r="16" customFormat="false" ht="15" hidden="false" customHeight="false" outlineLevel="0" collapsed="false">
      <c r="A16" s="7" t="s">
        <v>51</v>
      </c>
      <c r="B16" s="8" t="s">
        <v>52</v>
      </c>
      <c r="C16" s="9" t="n">
        <f aca="false">COUNTIF('Skills Register'!$D$4:$D$142,A16)</f>
        <v>9</v>
      </c>
      <c r="D16" s="9" t="n">
        <f aca="false">SUMIF('Skills Register'!$D$4:$D$142,A16,'Skills Register'!$B$4:$B$142)</f>
        <v>335</v>
      </c>
      <c r="E16" s="9" t="n">
        <f aca="false">SUMIF('Skills Register'!$D$4:$D$142,A16,'Skills Register'!$I$4:$I$142)</f>
        <v>0</v>
      </c>
      <c r="F16" s="10" t="n">
        <f aca="false">IFERROR(E16/D16,0)</f>
        <v>0</v>
      </c>
      <c r="G16" s="11" t="str">
        <f aca="false">IF(F16&gt;=1,"Achieved",IF(F16&gt;=0.5,"In Progress","Not Started"))</f>
        <v>Not Started</v>
      </c>
    </row>
    <row r="17" customFormat="false" ht="15" hidden="false" customHeight="false" outlineLevel="0" collapsed="false">
      <c r="A17" s="7" t="s">
        <v>53</v>
      </c>
      <c r="B17" s="8" t="s">
        <v>54</v>
      </c>
      <c r="C17" s="9" t="n">
        <f aca="false">COUNTIF('Skills Register'!$D$4:$D$142,A17)</f>
        <v>5</v>
      </c>
      <c r="D17" s="9" t="n">
        <f aca="false">SUMIF('Skills Register'!$D$4:$D$142,A17,'Skills Register'!$B$4:$B$142)</f>
        <v>95</v>
      </c>
      <c r="E17" s="9" t="n">
        <f aca="false">SUMIF('Skills Register'!$D$4:$D$142,A17,'Skills Register'!$I$4:$I$142)</f>
        <v>0</v>
      </c>
      <c r="F17" s="10" t="n">
        <f aca="false">IFERROR(E17/D17,0)</f>
        <v>0</v>
      </c>
      <c r="G17" s="11" t="str">
        <f aca="false">IF(F17&gt;=1,"Achieved",IF(F17&gt;=0.5,"In Progress","Not Started"))</f>
        <v>Not Started</v>
      </c>
    </row>
    <row r="18" customFormat="false" ht="15" hidden="false" customHeight="false" outlineLevel="0" collapsed="false">
      <c r="A18" s="7" t="s">
        <v>55</v>
      </c>
      <c r="B18" s="8" t="s">
        <v>56</v>
      </c>
      <c r="C18" s="9" t="n">
        <f aca="false">COUNTIF('Skills Register'!$D$4:$D$142,A18)</f>
        <v>3</v>
      </c>
      <c r="D18" s="9" t="n">
        <f aca="false">SUMIF('Skills Register'!$D$4:$D$142,A18,'Skills Register'!$B$4:$B$142)</f>
        <v>465</v>
      </c>
      <c r="E18" s="9" t="n">
        <f aca="false">SUMIF('Skills Register'!$D$4:$D$142,A18,'Skills Register'!$I$4:$I$142)</f>
        <v>0</v>
      </c>
      <c r="F18" s="10" t="n">
        <f aca="false">IFERROR(E18/D18,0)</f>
        <v>0</v>
      </c>
      <c r="G18" s="11" t="str">
        <f aca="false">IF(F18&gt;=1,"Achieved",IF(F18&gt;=0.5,"In Progress","Not Started"))</f>
        <v>Not Started</v>
      </c>
    </row>
    <row r="19" customFormat="false" ht="15" hidden="false" customHeight="false" outlineLevel="0" collapsed="false">
      <c r="A19" s="12"/>
      <c r="B19" s="8" t="s">
        <v>57</v>
      </c>
      <c r="C19" s="8" t="n">
        <f aca="false">SUM(C5:C18)</f>
        <v>139</v>
      </c>
      <c r="D19" s="8" t="n">
        <f aca="false">SUM(D5:D18)</f>
        <v>4668</v>
      </c>
      <c r="E19" s="8" t="n">
        <f aca="false">SUM(E5:E18)</f>
        <v>0</v>
      </c>
      <c r="F19" s="13" t="n">
        <f aca="false">IFERROR(E19/D19,0)</f>
        <v>0</v>
      </c>
      <c r="G19" s="12"/>
    </row>
  </sheetData>
  <conditionalFormatting sqref="G5:G18">
    <cfRule type="cellIs" priority="2" operator="equal" aboveAverage="0" equalAverage="0" bottom="0" percent="0" rank="0" text="" dxfId="0">
      <formula>"Achieved"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58</v>
      </c>
    </row>
    <row r="3" customFormat="false" ht="39.55" hidden="false" customHeight="false" outlineLevel="0" collapsed="false">
      <c r="A3" s="6" t="s">
        <v>22</v>
      </c>
      <c r="B3" s="6" t="s">
        <v>23</v>
      </c>
      <c r="C3" s="6" t="s">
        <v>59</v>
      </c>
      <c r="D3" s="6" t="s">
        <v>60</v>
      </c>
    </row>
    <row r="4" customFormat="false" ht="23.85" hidden="false" customHeight="false" outlineLevel="0" collapsed="false">
      <c r="A4" s="7" t="s">
        <v>29</v>
      </c>
      <c r="B4" s="14" t="s">
        <v>30</v>
      </c>
      <c r="C4" s="15" t="s">
        <v>61</v>
      </c>
      <c r="D4" s="9" t="n">
        <f aca="false">COUNTIF('Skills Register'!D:D,A4)</f>
        <v>10</v>
      </c>
    </row>
    <row r="5" customFormat="false" ht="23.85" hidden="false" customHeight="false" outlineLevel="0" collapsed="false">
      <c r="A5" s="7" t="s">
        <v>31</v>
      </c>
      <c r="B5" s="14" t="s">
        <v>32</v>
      </c>
      <c r="C5" s="15" t="s">
        <v>62</v>
      </c>
      <c r="D5" s="9" t="n">
        <f aca="false">COUNTIF('Skills Register'!D:D,A5)</f>
        <v>23</v>
      </c>
    </row>
    <row r="6" customFormat="false" ht="23.85" hidden="false" customHeight="false" outlineLevel="0" collapsed="false">
      <c r="A6" s="7" t="s">
        <v>33</v>
      </c>
      <c r="B6" s="14" t="s">
        <v>34</v>
      </c>
      <c r="C6" s="15" t="s">
        <v>63</v>
      </c>
      <c r="D6" s="9" t="n">
        <f aca="false">COUNTIF('Skills Register'!D:D,A6)</f>
        <v>30</v>
      </c>
    </row>
    <row r="7" customFormat="false" ht="15" hidden="false" customHeight="false" outlineLevel="0" collapsed="false">
      <c r="A7" s="7" t="s">
        <v>35</v>
      </c>
      <c r="B7" s="14" t="s">
        <v>36</v>
      </c>
      <c r="C7" s="15" t="s">
        <v>64</v>
      </c>
      <c r="D7" s="9" t="n">
        <f aca="false">COUNTIF('Skills Register'!D:D,A7)</f>
        <v>5</v>
      </c>
    </row>
    <row r="8" customFormat="false" ht="23.85" hidden="false" customHeight="false" outlineLevel="0" collapsed="false">
      <c r="A8" s="7" t="s">
        <v>37</v>
      </c>
      <c r="B8" s="14" t="s">
        <v>38</v>
      </c>
      <c r="C8" s="15" t="s">
        <v>65</v>
      </c>
      <c r="D8" s="9" t="n">
        <f aca="false">COUNTIF('Skills Register'!D:D,A8)</f>
        <v>13</v>
      </c>
    </row>
    <row r="9" customFormat="false" ht="15" hidden="false" customHeight="false" outlineLevel="0" collapsed="false">
      <c r="A9" s="7" t="s">
        <v>39</v>
      </c>
      <c r="B9" s="14" t="s">
        <v>40</v>
      </c>
      <c r="C9" s="15" t="s">
        <v>66</v>
      </c>
      <c r="D9" s="9" t="n">
        <f aca="false">COUNTIF('Skills Register'!D:D,A9)</f>
        <v>8</v>
      </c>
    </row>
    <row r="10" customFormat="false" ht="15" hidden="false" customHeight="false" outlineLevel="0" collapsed="false">
      <c r="A10" s="7" t="s">
        <v>41</v>
      </c>
      <c r="B10" s="14" t="s">
        <v>42</v>
      </c>
      <c r="C10" s="15" t="s">
        <v>67</v>
      </c>
      <c r="D10" s="9" t="n">
        <f aca="false">COUNTIF('Skills Register'!D:D,A10)</f>
        <v>11</v>
      </c>
    </row>
    <row r="11" customFormat="false" ht="23.85" hidden="false" customHeight="false" outlineLevel="0" collapsed="false">
      <c r="A11" s="7" t="s">
        <v>43</v>
      </c>
      <c r="B11" s="14" t="s">
        <v>44</v>
      </c>
      <c r="C11" s="15" t="s">
        <v>68</v>
      </c>
      <c r="D11" s="9" t="n">
        <f aca="false">COUNTIF('Skills Register'!D:D,A11)</f>
        <v>6</v>
      </c>
    </row>
    <row r="12" customFormat="false" ht="15" hidden="false" customHeight="false" outlineLevel="0" collapsed="false">
      <c r="A12" s="7" t="s">
        <v>45</v>
      </c>
      <c r="B12" s="14" t="s">
        <v>46</v>
      </c>
      <c r="C12" s="15" t="s">
        <v>69</v>
      </c>
      <c r="D12" s="9" t="n">
        <f aca="false">COUNTIF('Skills Register'!D:D,A12)</f>
        <v>6</v>
      </c>
    </row>
    <row r="13" customFormat="false" ht="15" hidden="false" customHeight="false" outlineLevel="0" collapsed="false">
      <c r="A13" s="7" t="s">
        <v>47</v>
      </c>
      <c r="B13" s="14" t="s">
        <v>48</v>
      </c>
      <c r="C13" s="15" t="s">
        <v>70</v>
      </c>
      <c r="D13" s="9" t="n">
        <f aca="false">COUNTIF('Skills Register'!D:D,A13)</f>
        <v>8</v>
      </c>
    </row>
    <row r="14" customFormat="false" ht="23.85" hidden="false" customHeight="false" outlineLevel="0" collapsed="false">
      <c r="A14" s="7" t="s">
        <v>49</v>
      </c>
      <c r="B14" s="14" t="s">
        <v>50</v>
      </c>
      <c r="C14" s="15" t="s">
        <v>71</v>
      </c>
      <c r="D14" s="9" t="n">
        <f aca="false">COUNTIF('Skills Register'!D:D,A14)</f>
        <v>2</v>
      </c>
    </row>
    <row r="15" customFormat="false" ht="23.85" hidden="false" customHeight="false" outlineLevel="0" collapsed="false">
      <c r="A15" s="7" t="s">
        <v>51</v>
      </c>
      <c r="B15" s="14" t="s">
        <v>52</v>
      </c>
      <c r="C15" s="15" t="s">
        <v>72</v>
      </c>
      <c r="D15" s="9" t="n">
        <f aca="false">COUNTIF('Skills Register'!D:D,A15)</f>
        <v>9</v>
      </c>
    </row>
    <row r="16" customFormat="false" ht="23.85" hidden="false" customHeight="false" outlineLevel="0" collapsed="false">
      <c r="A16" s="7" t="s">
        <v>53</v>
      </c>
      <c r="B16" s="14" t="s">
        <v>54</v>
      </c>
      <c r="C16" s="15" t="s">
        <v>73</v>
      </c>
      <c r="D16" s="9" t="n">
        <f aca="false">COUNTIF('Skills Register'!D:D,A16)</f>
        <v>5</v>
      </c>
    </row>
    <row r="17" customFormat="false" ht="23.85" hidden="false" customHeight="false" outlineLevel="0" collapsed="false">
      <c r="A17" s="7" t="s">
        <v>55</v>
      </c>
      <c r="B17" s="14" t="s">
        <v>56</v>
      </c>
      <c r="C17" s="15" t="s">
        <v>74</v>
      </c>
      <c r="D17" s="9" t="n">
        <f aca="false">COUNTIF('Skills Register'!D:D,A17)</f>
        <v>3</v>
      </c>
    </row>
    <row r="18" customFormat="false" ht="15" hidden="false" customHeight="false" outlineLevel="0" collapsed="false">
      <c r="A18" s="12"/>
      <c r="B18" s="8" t="s">
        <v>75</v>
      </c>
      <c r="C18" s="12"/>
      <c r="D18" s="8" t="n">
        <f aca="false">SUM(D4:D17)</f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76</v>
      </c>
    </row>
    <row r="3" customFormat="false" ht="15" hidden="false" customHeight="false" outlineLevel="0" collapsed="false">
      <c r="A3" s="6" t="s">
        <v>77</v>
      </c>
      <c r="B3" s="6" t="s">
        <v>78</v>
      </c>
      <c r="C3" s="6" t="s">
        <v>79</v>
      </c>
    </row>
    <row r="4" customFormat="false" ht="23.85" hidden="false" customHeight="false" outlineLevel="0" collapsed="false">
      <c r="A4" s="7" t="s">
        <v>80</v>
      </c>
      <c r="B4" s="16" t="s">
        <v>81</v>
      </c>
      <c r="C4" s="15" t="s">
        <v>82</v>
      </c>
    </row>
    <row r="5" customFormat="false" ht="23.85" hidden="false" customHeight="false" outlineLevel="0" collapsed="false">
      <c r="A5" s="7" t="s">
        <v>83</v>
      </c>
      <c r="B5" s="16" t="s">
        <v>81</v>
      </c>
      <c r="C5" s="15" t="s">
        <v>84</v>
      </c>
    </row>
    <row r="6" customFormat="false" ht="15" hidden="false" customHeight="false" outlineLevel="0" collapsed="false">
      <c r="A6" s="7" t="s">
        <v>85</v>
      </c>
      <c r="B6" s="16" t="s">
        <v>81</v>
      </c>
      <c r="C6" s="15" t="s">
        <v>86</v>
      </c>
    </row>
    <row r="7" customFormat="false" ht="23.85" hidden="false" customHeight="false" outlineLevel="0" collapsed="false">
      <c r="A7" s="7" t="s">
        <v>87</v>
      </c>
      <c r="B7" s="16" t="s">
        <v>81</v>
      </c>
      <c r="C7" s="15" t="s">
        <v>88</v>
      </c>
    </row>
    <row r="8" customFormat="false" ht="23.85" hidden="false" customHeight="false" outlineLevel="0" collapsed="false">
      <c r="A8" s="7" t="s">
        <v>89</v>
      </c>
      <c r="B8" s="16" t="s">
        <v>90</v>
      </c>
      <c r="C8" s="15" t="s">
        <v>91</v>
      </c>
    </row>
    <row r="9" customFormat="false" ht="15" hidden="false" customHeight="false" outlineLevel="0" collapsed="false">
      <c r="A9" s="7" t="s">
        <v>92</v>
      </c>
      <c r="B9" s="16" t="s">
        <v>90</v>
      </c>
      <c r="C9" s="15" t="s">
        <v>93</v>
      </c>
    </row>
    <row r="10" customFormat="false" ht="23.85" hidden="false" customHeight="false" outlineLevel="0" collapsed="false">
      <c r="A10" s="7" t="s">
        <v>94</v>
      </c>
      <c r="B10" s="16" t="s">
        <v>90</v>
      </c>
      <c r="C10" s="15" t="s">
        <v>95</v>
      </c>
    </row>
    <row r="11" customFormat="false" ht="15" hidden="false" customHeight="false" outlineLevel="0" collapsed="false">
      <c r="A11" s="7" t="s">
        <v>96</v>
      </c>
      <c r="B11" s="16" t="s">
        <v>90</v>
      </c>
      <c r="C11" s="15" t="s">
        <v>97</v>
      </c>
    </row>
    <row r="12" customFormat="false" ht="23.85" hidden="false" customHeight="false" outlineLevel="0" collapsed="false">
      <c r="A12" s="7" t="s">
        <v>98</v>
      </c>
      <c r="B12" s="16" t="s">
        <v>90</v>
      </c>
      <c r="C12" s="15" t="s">
        <v>99</v>
      </c>
    </row>
    <row r="13" customFormat="false" ht="15" hidden="false" customHeight="false" outlineLevel="0" collapsed="false">
      <c r="A13" s="7" t="s">
        <v>100</v>
      </c>
      <c r="B13" s="16" t="s">
        <v>90</v>
      </c>
      <c r="C13" s="15" t="s">
        <v>101</v>
      </c>
    </row>
    <row r="14" customFormat="false" ht="15" hidden="false" customHeight="false" outlineLevel="0" collapsed="false">
      <c r="A14" s="7" t="s">
        <v>102</v>
      </c>
      <c r="B14" s="16" t="s">
        <v>90</v>
      </c>
      <c r="C14" s="15" t="s">
        <v>103</v>
      </c>
    </row>
    <row r="15" customFormat="false" ht="15" hidden="false" customHeight="false" outlineLevel="0" collapsed="false">
      <c r="A15" s="7" t="s">
        <v>104</v>
      </c>
      <c r="B15" s="16" t="s">
        <v>90</v>
      </c>
      <c r="C15" s="15" t="s">
        <v>105</v>
      </c>
    </row>
    <row r="16" customFormat="false" ht="23.85" hidden="false" customHeight="false" outlineLevel="0" collapsed="false">
      <c r="A16" s="7" t="s">
        <v>106</v>
      </c>
      <c r="B16" s="16" t="s">
        <v>90</v>
      </c>
      <c r="C16" s="15" t="s">
        <v>107</v>
      </c>
    </row>
    <row r="17" customFormat="false" ht="15" hidden="false" customHeight="false" outlineLevel="0" collapsed="false">
      <c r="A17" s="7" t="s">
        <v>108</v>
      </c>
      <c r="B17" s="16" t="s">
        <v>90</v>
      </c>
      <c r="C17" s="15" t="s">
        <v>109</v>
      </c>
    </row>
    <row r="18" customFormat="false" ht="23.85" hidden="false" customHeight="false" outlineLevel="0" collapsed="false">
      <c r="A18" s="7" t="s">
        <v>110</v>
      </c>
      <c r="B18" s="16" t="s">
        <v>90</v>
      </c>
      <c r="C18" s="15" t="s">
        <v>111</v>
      </c>
    </row>
    <row r="19" customFormat="false" ht="15" hidden="false" customHeight="false" outlineLevel="0" collapsed="false">
      <c r="A19" s="7" t="s">
        <v>112</v>
      </c>
      <c r="B19" s="16" t="s">
        <v>90</v>
      </c>
      <c r="C19" s="15" t="s">
        <v>113</v>
      </c>
    </row>
    <row r="20" customFormat="false" ht="23.85" hidden="false" customHeight="false" outlineLevel="0" collapsed="false">
      <c r="A20" s="7" t="s">
        <v>114</v>
      </c>
      <c r="B20" s="16" t="s">
        <v>115</v>
      </c>
      <c r="C20" s="15" t="s">
        <v>116</v>
      </c>
    </row>
    <row r="21" customFormat="false" ht="23.85" hidden="false" customHeight="false" outlineLevel="0" collapsed="false">
      <c r="A21" s="7" t="s">
        <v>117</v>
      </c>
      <c r="B21" s="16" t="s">
        <v>115</v>
      </c>
      <c r="C21" s="15" t="s">
        <v>118</v>
      </c>
    </row>
    <row r="22" customFormat="false" ht="23.85" hidden="false" customHeight="false" outlineLevel="0" collapsed="false">
      <c r="A22" s="7" t="s">
        <v>119</v>
      </c>
      <c r="B22" s="16" t="s">
        <v>115</v>
      </c>
      <c r="C22" s="15" t="s">
        <v>120</v>
      </c>
    </row>
    <row r="23" customFormat="false" ht="23.85" hidden="false" customHeight="false" outlineLevel="0" collapsed="false">
      <c r="A23" s="7" t="s">
        <v>121</v>
      </c>
      <c r="B23" s="16" t="s">
        <v>115</v>
      </c>
      <c r="C23" s="15" t="s">
        <v>122</v>
      </c>
    </row>
    <row r="24" customFormat="false" ht="23.85" hidden="false" customHeight="false" outlineLevel="0" collapsed="false">
      <c r="A24" s="7" t="s">
        <v>123</v>
      </c>
      <c r="B24" s="16" t="s">
        <v>115</v>
      </c>
      <c r="C24" s="15" t="s">
        <v>124</v>
      </c>
    </row>
    <row r="25" customFormat="false" ht="23.85" hidden="false" customHeight="false" outlineLevel="0" collapsed="false">
      <c r="A25" s="7" t="s">
        <v>125</v>
      </c>
      <c r="B25" s="16" t="s">
        <v>115</v>
      </c>
      <c r="C25" s="15" t="s">
        <v>126</v>
      </c>
    </row>
    <row r="26" customFormat="false" ht="15" hidden="false" customHeight="false" outlineLevel="0" collapsed="false">
      <c r="A26" s="7" t="s">
        <v>127</v>
      </c>
      <c r="B26" s="16" t="s">
        <v>115</v>
      </c>
      <c r="C26" s="15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5" min="4" style="0" width="24"/>
  </cols>
  <sheetData>
    <row r="1" customFormat="false" ht="17.35" hidden="false" customHeight="false" outlineLevel="0" collapsed="false">
      <c r="A1" s="1" t="s">
        <v>129</v>
      </c>
    </row>
    <row r="3" customFormat="false" ht="26.85" hidden="false" customHeight="false" outlineLevel="0" collapsed="false">
      <c r="A3" s="6" t="s">
        <v>22</v>
      </c>
      <c r="B3" s="6" t="s">
        <v>23</v>
      </c>
      <c r="C3" s="6" t="s">
        <v>130</v>
      </c>
      <c r="D3" s="6" t="s">
        <v>131</v>
      </c>
      <c r="E3" s="6" t="s">
        <v>132</v>
      </c>
    </row>
    <row r="4" customFormat="false" ht="15" hidden="false" customHeight="false" outlineLevel="0" collapsed="false">
      <c r="A4" s="15" t="s">
        <v>29</v>
      </c>
      <c r="B4" s="15" t="s">
        <v>30</v>
      </c>
      <c r="C4" s="15" t="s">
        <v>87</v>
      </c>
      <c r="D4" s="15" t="s">
        <v>133</v>
      </c>
      <c r="E4" s="15" t="s">
        <v>134</v>
      </c>
    </row>
    <row r="5" customFormat="false" ht="15" hidden="false" customHeight="false" outlineLevel="0" collapsed="false">
      <c r="A5" s="15" t="s">
        <v>31</v>
      </c>
      <c r="B5" s="15" t="s">
        <v>32</v>
      </c>
      <c r="C5" s="15" t="s">
        <v>87</v>
      </c>
      <c r="D5" s="15" t="s">
        <v>92</v>
      </c>
      <c r="E5" s="15" t="s">
        <v>123</v>
      </c>
    </row>
    <row r="6" customFormat="false" ht="23.85" hidden="false" customHeight="false" outlineLevel="0" collapsed="false">
      <c r="A6" s="15" t="s">
        <v>33</v>
      </c>
      <c r="B6" s="15" t="s">
        <v>34</v>
      </c>
      <c r="C6" s="15" t="s">
        <v>87</v>
      </c>
      <c r="D6" s="15" t="s">
        <v>135</v>
      </c>
      <c r="E6" s="15" t="s">
        <v>123</v>
      </c>
    </row>
    <row r="7" customFormat="false" ht="15" hidden="false" customHeight="false" outlineLevel="0" collapsed="false">
      <c r="A7" s="15" t="s">
        <v>35</v>
      </c>
      <c r="B7" s="15" t="s">
        <v>36</v>
      </c>
      <c r="C7" s="15" t="s">
        <v>87</v>
      </c>
      <c r="D7" s="15" t="s">
        <v>96</v>
      </c>
      <c r="E7" s="15" t="s">
        <v>123</v>
      </c>
    </row>
    <row r="8" customFormat="false" ht="23.85" hidden="false" customHeight="false" outlineLevel="0" collapsed="false">
      <c r="A8" s="15" t="s">
        <v>37</v>
      </c>
      <c r="B8" s="15" t="s">
        <v>38</v>
      </c>
      <c r="C8" s="15" t="s">
        <v>87</v>
      </c>
      <c r="D8" s="15" t="s">
        <v>96</v>
      </c>
      <c r="E8" s="15" t="s">
        <v>123</v>
      </c>
    </row>
    <row r="9" customFormat="false" ht="15" hidden="false" customHeight="false" outlineLevel="0" collapsed="false">
      <c r="A9" s="15" t="s">
        <v>39</v>
      </c>
      <c r="B9" s="15" t="s">
        <v>40</v>
      </c>
      <c r="C9" s="15" t="s">
        <v>85</v>
      </c>
      <c r="D9" s="15" t="s">
        <v>136</v>
      </c>
      <c r="E9" s="15" t="s">
        <v>134</v>
      </c>
    </row>
    <row r="10" customFormat="false" ht="15" hidden="false" customHeight="false" outlineLevel="0" collapsed="false">
      <c r="A10" s="15" t="s">
        <v>41</v>
      </c>
      <c r="B10" s="15" t="s">
        <v>42</v>
      </c>
      <c r="C10" s="15" t="s">
        <v>87</v>
      </c>
      <c r="D10" s="15" t="s">
        <v>96</v>
      </c>
      <c r="E10" s="15" t="s">
        <v>123</v>
      </c>
    </row>
    <row r="11" customFormat="false" ht="23.85" hidden="false" customHeight="false" outlineLevel="0" collapsed="false">
      <c r="A11" s="15" t="s">
        <v>43</v>
      </c>
      <c r="B11" s="15" t="s">
        <v>44</v>
      </c>
      <c r="C11" s="15" t="s">
        <v>80</v>
      </c>
      <c r="D11" s="15" t="s">
        <v>137</v>
      </c>
      <c r="E11" s="15" t="s">
        <v>138</v>
      </c>
    </row>
    <row r="12" customFormat="false" ht="15" hidden="false" customHeight="false" outlineLevel="0" collapsed="false">
      <c r="A12" s="15" t="s">
        <v>45</v>
      </c>
      <c r="B12" s="15" t="s">
        <v>46</v>
      </c>
      <c r="C12" s="15" t="s">
        <v>87</v>
      </c>
      <c r="D12" s="15" t="s">
        <v>96</v>
      </c>
      <c r="E12" s="15" t="s">
        <v>123</v>
      </c>
    </row>
    <row r="13" customFormat="false" ht="15" hidden="false" customHeight="false" outlineLevel="0" collapsed="false">
      <c r="A13" s="15" t="s">
        <v>47</v>
      </c>
      <c r="B13" s="15" t="s">
        <v>48</v>
      </c>
      <c r="C13" s="15" t="s">
        <v>139</v>
      </c>
      <c r="D13" s="15" t="s">
        <v>96</v>
      </c>
      <c r="E13" s="15" t="s">
        <v>123</v>
      </c>
    </row>
    <row r="14" customFormat="false" ht="15" hidden="false" customHeight="false" outlineLevel="0" collapsed="false">
      <c r="A14" s="15" t="s">
        <v>49</v>
      </c>
      <c r="B14" s="15" t="s">
        <v>50</v>
      </c>
      <c r="C14" s="15" t="s">
        <v>139</v>
      </c>
      <c r="D14" s="15" t="s">
        <v>96</v>
      </c>
      <c r="E14" s="15" t="s">
        <v>123</v>
      </c>
    </row>
    <row r="15" customFormat="false" ht="23.85" hidden="false" customHeight="false" outlineLevel="0" collapsed="false">
      <c r="A15" s="15" t="s">
        <v>51</v>
      </c>
      <c r="B15" s="15" t="s">
        <v>52</v>
      </c>
      <c r="C15" s="15" t="s">
        <v>139</v>
      </c>
      <c r="D15" s="15" t="s">
        <v>133</v>
      </c>
      <c r="E15" s="15" t="s">
        <v>134</v>
      </c>
    </row>
    <row r="16" customFormat="false" ht="15" hidden="false" customHeight="false" outlineLevel="0" collapsed="false">
      <c r="A16" s="15" t="s">
        <v>53</v>
      </c>
      <c r="B16" s="15" t="s">
        <v>54</v>
      </c>
      <c r="C16" s="15" t="s">
        <v>80</v>
      </c>
      <c r="D16" s="15" t="s">
        <v>140</v>
      </c>
      <c r="E16" s="15" t="s">
        <v>141</v>
      </c>
    </row>
    <row r="17" customFormat="false" ht="15" hidden="false" customHeight="false" outlineLevel="0" collapsed="false">
      <c r="A17" s="15" t="s">
        <v>55</v>
      </c>
      <c r="B17" s="15" t="s">
        <v>56</v>
      </c>
      <c r="C17" s="15" t="s">
        <v>80</v>
      </c>
      <c r="D17" s="15" t="s">
        <v>142</v>
      </c>
      <c r="E17" s="15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1" min="9" style="0" width="12"/>
  </cols>
  <sheetData>
    <row r="1" customFormat="false" ht="17.35" hidden="false" customHeight="false" outlineLevel="0" collapsed="false">
      <c r="A1" s="1" t="s">
        <v>144</v>
      </c>
    </row>
    <row r="3" customFormat="false" ht="77.6" hidden="false" customHeight="false" outlineLevel="0" collapsed="false">
      <c r="A3" s="6" t="s">
        <v>145</v>
      </c>
      <c r="B3" s="6" t="s">
        <v>146</v>
      </c>
      <c r="C3" s="6" t="s">
        <v>147</v>
      </c>
      <c r="D3" s="6" t="s">
        <v>22</v>
      </c>
      <c r="E3" s="6" t="s">
        <v>23</v>
      </c>
      <c r="F3" s="6" t="s">
        <v>148</v>
      </c>
      <c r="G3" s="6" t="s">
        <v>149</v>
      </c>
      <c r="H3" s="6" t="s">
        <v>150</v>
      </c>
      <c r="I3" s="6" t="s">
        <v>151</v>
      </c>
      <c r="J3" s="6" t="s">
        <v>152</v>
      </c>
      <c r="K3" s="6" t="s">
        <v>153</v>
      </c>
    </row>
    <row r="4" customFormat="false" ht="15" hidden="false" customHeight="false" outlineLevel="0" collapsed="false">
      <c r="A4" s="15" t="s">
        <v>154</v>
      </c>
      <c r="B4" s="17" t="n">
        <v>450</v>
      </c>
      <c r="C4" s="15" t="s">
        <v>155</v>
      </c>
      <c r="D4" s="7" t="s">
        <v>55</v>
      </c>
      <c r="E4" s="16" t="s">
        <v>56</v>
      </c>
      <c r="F4" s="16" t="s">
        <v>80</v>
      </c>
      <c r="G4" s="16" t="s">
        <v>142</v>
      </c>
      <c r="H4" s="16" t="s">
        <v>143</v>
      </c>
      <c r="I4" s="18" t="n">
        <v>0</v>
      </c>
      <c r="J4" s="10" t="n">
        <f aca="false">IFERROR(I4/B4,0)</f>
        <v>0</v>
      </c>
      <c r="K4" s="9" t="str">
        <f aca="false">IF(B4=0,"N/A",IF(J4&gt;=1,"Achieved",IF(J4&gt;=0.5,"In Progress","Not Started")))</f>
        <v>Not Started</v>
      </c>
    </row>
    <row r="5" customFormat="false" ht="35.05" hidden="false" customHeight="false" outlineLevel="0" collapsed="false">
      <c r="A5" s="15" t="s">
        <v>156</v>
      </c>
      <c r="B5" s="17" t="n">
        <v>330</v>
      </c>
      <c r="C5" s="15" t="s">
        <v>157</v>
      </c>
      <c r="D5" s="7" t="s">
        <v>29</v>
      </c>
      <c r="E5" s="16" t="s">
        <v>30</v>
      </c>
      <c r="F5" s="16" t="s">
        <v>87</v>
      </c>
      <c r="G5" s="16" t="s">
        <v>133</v>
      </c>
      <c r="H5" s="16" t="s">
        <v>134</v>
      </c>
      <c r="I5" s="18" t="n">
        <v>0</v>
      </c>
      <c r="J5" s="10" t="n">
        <f aca="false">IFERROR(I5/B5,0)</f>
        <v>0</v>
      </c>
      <c r="K5" s="9" t="str">
        <f aca="false">IF(B5=0,"N/A",IF(J5&gt;=1,"Achieved",IF(J5&gt;=0.5,"In Progress","Not Started")))</f>
        <v>Not Started</v>
      </c>
    </row>
    <row r="6" customFormat="false" ht="46.25" hidden="false" customHeight="false" outlineLevel="0" collapsed="false">
      <c r="A6" s="15" t="s">
        <v>158</v>
      </c>
      <c r="B6" s="17" t="n">
        <v>235</v>
      </c>
      <c r="C6" s="15" t="s">
        <v>159</v>
      </c>
      <c r="D6" s="7" t="s">
        <v>29</v>
      </c>
      <c r="E6" s="16" t="s">
        <v>30</v>
      </c>
      <c r="F6" s="16" t="s">
        <v>87</v>
      </c>
      <c r="G6" s="16" t="s">
        <v>133</v>
      </c>
      <c r="H6" s="16" t="s">
        <v>134</v>
      </c>
      <c r="I6" s="18" t="n">
        <v>0</v>
      </c>
      <c r="J6" s="10" t="n">
        <f aca="false">IFERROR(I6/B6,0)</f>
        <v>0</v>
      </c>
      <c r="K6" s="9" t="str">
        <f aca="false">IF(B6=0,"N/A",IF(J6&gt;=1,"Achieved",IF(J6&gt;=0.5,"In Progress","Not Started")))</f>
        <v>Not Started</v>
      </c>
    </row>
    <row r="7" customFormat="false" ht="46.25" hidden="false" customHeight="false" outlineLevel="0" collapsed="false">
      <c r="A7" s="15" t="s">
        <v>160</v>
      </c>
      <c r="B7" s="17" t="n">
        <v>125</v>
      </c>
      <c r="C7" s="15" t="s">
        <v>159</v>
      </c>
      <c r="D7" s="7" t="s">
        <v>29</v>
      </c>
      <c r="E7" s="16" t="s">
        <v>30</v>
      </c>
      <c r="F7" s="16" t="s">
        <v>87</v>
      </c>
      <c r="G7" s="16" t="s">
        <v>133</v>
      </c>
      <c r="H7" s="16" t="s">
        <v>134</v>
      </c>
      <c r="I7" s="18" t="n">
        <v>0</v>
      </c>
      <c r="J7" s="10" t="n">
        <f aca="false">IFERROR(I7/B7,0)</f>
        <v>0</v>
      </c>
      <c r="K7" s="9" t="str">
        <f aca="false">IF(B7=0,"N/A",IF(J7&gt;=1,"Achieved",IF(J7&gt;=0.5,"In Progress","Not Started")))</f>
        <v>Not Started</v>
      </c>
    </row>
    <row r="8" customFormat="false" ht="46.25" hidden="false" customHeight="false" outlineLevel="0" collapsed="false">
      <c r="A8" s="15" t="s">
        <v>161</v>
      </c>
      <c r="B8" s="17" t="n">
        <v>285</v>
      </c>
      <c r="C8" s="15" t="s">
        <v>159</v>
      </c>
      <c r="D8" s="7" t="s">
        <v>29</v>
      </c>
      <c r="E8" s="16" t="s">
        <v>30</v>
      </c>
      <c r="F8" s="16" t="s">
        <v>87</v>
      </c>
      <c r="G8" s="16" t="s">
        <v>133</v>
      </c>
      <c r="H8" s="16" t="s">
        <v>134</v>
      </c>
      <c r="I8" s="18" t="n">
        <v>0</v>
      </c>
      <c r="J8" s="10" t="n">
        <f aca="false">IFERROR(I8/B8,0)</f>
        <v>0</v>
      </c>
      <c r="K8" s="9" t="str">
        <f aca="false">IF(B8=0,"N/A",IF(J8&gt;=1,"Achieved",IF(J8&gt;=0.5,"In Progress","Not Started")))</f>
        <v>Not Started</v>
      </c>
    </row>
    <row r="9" customFormat="false" ht="23.85" hidden="false" customHeight="false" outlineLevel="0" collapsed="false">
      <c r="A9" s="15" t="s">
        <v>162</v>
      </c>
      <c r="B9" s="17" t="n">
        <v>170</v>
      </c>
      <c r="C9" s="15" t="s">
        <v>163</v>
      </c>
      <c r="D9" s="7" t="s">
        <v>31</v>
      </c>
      <c r="E9" s="16" t="s">
        <v>32</v>
      </c>
      <c r="F9" s="16" t="s">
        <v>87</v>
      </c>
      <c r="G9" s="16" t="s">
        <v>92</v>
      </c>
      <c r="H9" s="16" t="s">
        <v>123</v>
      </c>
      <c r="I9" s="18" t="n">
        <v>0</v>
      </c>
      <c r="J9" s="10" t="n">
        <f aca="false">IFERROR(I9/B9,0)</f>
        <v>0</v>
      </c>
      <c r="K9" s="9" t="str">
        <f aca="false">IF(B9=0,"N/A",IF(J9&gt;=1,"Achieved",IF(J9&gt;=0.5,"In Progress","Not Started")))</f>
        <v>Not Started</v>
      </c>
    </row>
    <row r="10" customFormat="false" ht="23.85" hidden="false" customHeight="false" outlineLevel="0" collapsed="false">
      <c r="A10" s="15" t="s">
        <v>164</v>
      </c>
      <c r="B10" s="17" t="n">
        <v>220</v>
      </c>
      <c r="C10" s="15" t="s">
        <v>163</v>
      </c>
      <c r="D10" s="7" t="s">
        <v>31</v>
      </c>
      <c r="E10" s="16" t="s">
        <v>32</v>
      </c>
      <c r="F10" s="16" t="s">
        <v>87</v>
      </c>
      <c r="G10" s="16" t="s">
        <v>92</v>
      </c>
      <c r="H10" s="16" t="s">
        <v>123</v>
      </c>
      <c r="I10" s="18" t="n">
        <v>0</v>
      </c>
      <c r="J10" s="10" t="n">
        <f aca="false">IFERROR(I10/B10,0)</f>
        <v>0</v>
      </c>
      <c r="K10" s="9" t="str">
        <f aca="false">IF(B10=0,"N/A",IF(J10&gt;=1,"Achieved",IF(J10&gt;=0.5,"In Progress","Not Started")))</f>
        <v>Not Started</v>
      </c>
    </row>
    <row r="11" customFormat="false" ht="23.85" hidden="false" customHeight="false" outlineLevel="0" collapsed="false">
      <c r="A11" s="15" t="s">
        <v>165</v>
      </c>
      <c r="B11" s="17" t="n">
        <v>100</v>
      </c>
      <c r="C11" s="15" t="s">
        <v>163</v>
      </c>
      <c r="D11" s="7" t="s">
        <v>31</v>
      </c>
      <c r="E11" s="16" t="s">
        <v>32</v>
      </c>
      <c r="F11" s="16" t="s">
        <v>87</v>
      </c>
      <c r="G11" s="16" t="s">
        <v>92</v>
      </c>
      <c r="H11" s="16" t="s">
        <v>123</v>
      </c>
      <c r="I11" s="18" t="n">
        <v>0</v>
      </c>
      <c r="J11" s="10" t="n">
        <f aca="false">IFERROR(I11/B11,0)</f>
        <v>0</v>
      </c>
      <c r="K11" s="9" t="str">
        <f aca="false">IF(B11=0,"N/A",IF(J11&gt;=1,"Achieved",IF(J11&gt;=0.5,"In Progress","Not Started")))</f>
        <v>Not Started</v>
      </c>
    </row>
    <row r="12" customFormat="false" ht="23.85" hidden="false" customHeight="false" outlineLevel="0" collapsed="false">
      <c r="A12" s="15" t="s">
        <v>166</v>
      </c>
      <c r="B12" s="17" t="n">
        <v>50</v>
      </c>
      <c r="C12" s="15" t="s">
        <v>163</v>
      </c>
      <c r="D12" s="7" t="s">
        <v>31</v>
      </c>
      <c r="E12" s="16" t="s">
        <v>32</v>
      </c>
      <c r="F12" s="16" t="s">
        <v>87</v>
      </c>
      <c r="G12" s="16" t="s">
        <v>92</v>
      </c>
      <c r="H12" s="16" t="s">
        <v>123</v>
      </c>
      <c r="I12" s="18" t="n">
        <v>0</v>
      </c>
      <c r="J12" s="10" t="n">
        <f aca="false">IFERROR(I12/B12,0)</f>
        <v>0</v>
      </c>
      <c r="K12" s="9" t="str">
        <f aca="false">IF(B12=0,"N/A",IF(J12&gt;=1,"Achieved",IF(J12&gt;=0.5,"In Progress","Not Started")))</f>
        <v>Not Started</v>
      </c>
    </row>
    <row r="13" customFormat="false" ht="23.85" hidden="false" customHeight="false" outlineLevel="0" collapsed="false">
      <c r="A13" s="15" t="s">
        <v>167</v>
      </c>
      <c r="B13" s="17" t="n">
        <v>300</v>
      </c>
      <c r="C13" s="15" t="s">
        <v>163</v>
      </c>
      <c r="D13" s="7" t="s">
        <v>31</v>
      </c>
      <c r="E13" s="16" t="s">
        <v>32</v>
      </c>
      <c r="F13" s="16" t="s">
        <v>87</v>
      </c>
      <c r="G13" s="16" t="s">
        <v>92</v>
      </c>
      <c r="H13" s="16" t="s">
        <v>123</v>
      </c>
      <c r="I13" s="18" t="n">
        <v>0</v>
      </c>
      <c r="J13" s="10" t="n">
        <f aca="false">IFERROR(I13/B13,0)</f>
        <v>0</v>
      </c>
      <c r="K13" s="9" t="str">
        <f aca="false">IF(B13=0,"N/A",IF(J13&gt;=1,"Achieved",IF(J13&gt;=0.5,"In Progress","Not Started")))</f>
        <v>Not Started</v>
      </c>
    </row>
    <row r="14" customFormat="false" ht="23.85" hidden="false" customHeight="false" outlineLevel="0" collapsed="false">
      <c r="A14" s="15" t="s">
        <v>168</v>
      </c>
      <c r="B14" s="17" t="n">
        <v>300</v>
      </c>
      <c r="C14" s="15" t="s">
        <v>163</v>
      </c>
      <c r="D14" s="7" t="s">
        <v>31</v>
      </c>
      <c r="E14" s="16" t="s">
        <v>32</v>
      </c>
      <c r="F14" s="16" t="s">
        <v>87</v>
      </c>
      <c r="G14" s="16" t="s">
        <v>92</v>
      </c>
      <c r="H14" s="16" t="s">
        <v>123</v>
      </c>
      <c r="I14" s="18" t="n">
        <v>0</v>
      </c>
      <c r="J14" s="10" t="n">
        <f aca="false">IFERROR(I14/B14,0)</f>
        <v>0</v>
      </c>
      <c r="K14" s="9" t="str">
        <f aca="false">IF(B14=0,"N/A",IF(J14&gt;=1,"Achieved",IF(J14&gt;=0.5,"In Progress","Not Started")))</f>
        <v>Not Started</v>
      </c>
    </row>
    <row r="15" customFormat="false" ht="23.85" hidden="false" customHeight="false" outlineLevel="0" collapsed="false">
      <c r="A15" s="15" t="s">
        <v>169</v>
      </c>
      <c r="B15" s="17" t="n">
        <v>200</v>
      </c>
      <c r="C15" s="15" t="s">
        <v>163</v>
      </c>
      <c r="D15" s="7" t="s">
        <v>31</v>
      </c>
      <c r="E15" s="16" t="s">
        <v>32</v>
      </c>
      <c r="F15" s="16" t="s">
        <v>87</v>
      </c>
      <c r="G15" s="16" t="s">
        <v>92</v>
      </c>
      <c r="H15" s="16" t="s">
        <v>123</v>
      </c>
      <c r="I15" s="18" t="n">
        <v>0</v>
      </c>
      <c r="J15" s="10" t="n">
        <f aca="false">IFERROR(I15/B15,0)</f>
        <v>0</v>
      </c>
      <c r="K15" s="9" t="str">
        <f aca="false">IF(B15=0,"N/A",IF(J15&gt;=1,"Achieved",IF(J15&gt;=0.5,"In Progress","Not Started")))</f>
        <v>Not Started</v>
      </c>
    </row>
    <row r="16" customFormat="false" ht="23.85" hidden="false" customHeight="false" outlineLevel="0" collapsed="false">
      <c r="A16" s="15" t="s">
        <v>170</v>
      </c>
      <c r="B16" s="17" t="n">
        <v>30</v>
      </c>
      <c r="C16" s="15" t="s">
        <v>163</v>
      </c>
      <c r="D16" s="7" t="s">
        <v>31</v>
      </c>
      <c r="E16" s="16" t="s">
        <v>32</v>
      </c>
      <c r="F16" s="16" t="s">
        <v>87</v>
      </c>
      <c r="G16" s="16" t="s">
        <v>92</v>
      </c>
      <c r="H16" s="16" t="s">
        <v>123</v>
      </c>
      <c r="I16" s="18" t="n">
        <v>0</v>
      </c>
      <c r="J16" s="10" t="n">
        <f aca="false">IFERROR(I16/B16,0)</f>
        <v>0</v>
      </c>
      <c r="K16" s="9" t="str">
        <f aca="false">IF(B16=0,"N/A",IF(J16&gt;=1,"Achieved",IF(J16&gt;=0.5,"In Progress","Not Started")))</f>
        <v>Not Started</v>
      </c>
    </row>
    <row r="17" customFormat="false" ht="23.85" hidden="false" customHeight="false" outlineLevel="0" collapsed="false">
      <c r="A17" s="15" t="s">
        <v>171</v>
      </c>
      <c r="B17" s="17" t="n">
        <v>120</v>
      </c>
      <c r="C17" s="15" t="s">
        <v>163</v>
      </c>
      <c r="D17" s="7" t="s">
        <v>31</v>
      </c>
      <c r="E17" s="16" t="s">
        <v>32</v>
      </c>
      <c r="F17" s="16" t="s">
        <v>87</v>
      </c>
      <c r="G17" s="16" t="s">
        <v>92</v>
      </c>
      <c r="H17" s="16" t="s">
        <v>123</v>
      </c>
      <c r="I17" s="18" t="n">
        <v>0</v>
      </c>
      <c r="J17" s="10" t="n">
        <f aca="false">IFERROR(I17/B17,0)</f>
        <v>0</v>
      </c>
      <c r="K17" s="9" t="str">
        <f aca="false">IF(B17=0,"N/A",IF(J17&gt;=1,"Achieved",IF(J17&gt;=0.5,"In Progress","Not Started")))</f>
        <v>Not Started</v>
      </c>
    </row>
    <row r="18" customFormat="false" ht="23.85" hidden="false" customHeight="false" outlineLevel="0" collapsed="false">
      <c r="A18" s="15" t="s">
        <v>172</v>
      </c>
      <c r="B18" s="17" t="n">
        <v>80</v>
      </c>
      <c r="C18" s="15" t="s">
        <v>163</v>
      </c>
      <c r="D18" s="7" t="s">
        <v>31</v>
      </c>
      <c r="E18" s="16" t="s">
        <v>32</v>
      </c>
      <c r="F18" s="16" t="s">
        <v>87</v>
      </c>
      <c r="G18" s="16" t="s">
        <v>92</v>
      </c>
      <c r="H18" s="16" t="s">
        <v>123</v>
      </c>
      <c r="I18" s="18" t="n">
        <v>0</v>
      </c>
      <c r="J18" s="10" t="n">
        <f aca="false">IFERROR(I18/B18,0)</f>
        <v>0</v>
      </c>
      <c r="K18" s="9" t="str">
        <f aca="false">IF(B18=0,"N/A",IF(J18&gt;=1,"Achieved",IF(J18&gt;=0.5,"In Progress","Not Started")))</f>
        <v>Not Started</v>
      </c>
    </row>
    <row r="19" customFormat="false" ht="23.85" hidden="false" customHeight="false" outlineLevel="0" collapsed="false">
      <c r="A19" s="15" t="s">
        <v>173</v>
      </c>
      <c r="B19" s="17" t="n">
        <v>10</v>
      </c>
      <c r="C19" s="15" t="s">
        <v>163</v>
      </c>
      <c r="D19" s="7" t="s">
        <v>31</v>
      </c>
      <c r="E19" s="16" t="s">
        <v>32</v>
      </c>
      <c r="F19" s="16" t="s">
        <v>87</v>
      </c>
      <c r="G19" s="16" t="s">
        <v>92</v>
      </c>
      <c r="H19" s="16" t="s">
        <v>123</v>
      </c>
      <c r="I19" s="18" t="n">
        <v>0</v>
      </c>
      <c r="J19" s="10" t="n">
        <f aca="false">IFERROR(I19/B19,0)</f>
        <v>0</v>
      </c>
      <c r="K19" s="9" t="str">
        <f aca="false">IF(B19=0,"N/A",IF(J19&gt;=1,"Achieved",IF(J19&gt;=0.5,"In Progress","Not Started")))</f>
        <v>Not Started</v>
      </c>
    </row>
    <row r="20" customFormat="false" ht="23.85" hidden="false" customHeight="false" outlineLevel="0" collapsed="false">
      <c r="A20" s="15" t="s">
        <v>174</v>
      </c>
      <c r="B20" s="17" t="n">
        <v>2</v>
      </c>
      <c r="C20" s="15" t="s">
        <v>163</v>
      </c>
      <c r="D20" s="7" t="s">
        <v>31</v>
      </c>
      <c r="E20" s="16" t="s">
        <v>32</v>
      </c>
      <c r="F20" s="16" t="s">
        <v>87</v>
      </c>
      <c r="G20" s="16" t="s">
        <v>92</v>
      </c>
      <c r="H20" s="16" t="s">
        <v>123</v>
      </c>
      <c r="I20" s="18" t="n">
        <v>0</v>
      </c>
      <c r="J20" s="10" t="n">
        <f aca="false">IFERROR(I20/B20,0)</f>
        <v>0</v>
      </c>
      <c r="K20" s="9" t="str">
        <f aca="false">IF(B20=0,"N/A",IF(J20&gt;=1,"Achieved",IF(J20&gt;=0.5,"In Progress","Not Started")))</f>
        <v>Not Started</v>
      </c>
    </row>
    <row r="21" customFormat="false" ht="35.05" hidden="false" customHeight="false" outlineLevel="0" collapsed="false">
      <c r="A21" s="15" t="s">
        <v>175</v>
      </c>
      <c r="B21" s="17" t="n">
        <v>60</v>
      </c>
      <c r="C21" s="15" t="s">
        <v>176</v>
      </c>
      <c r="D21" s="7" t="s">
        <v>29</v>
      </c>
      <c r="E21" s="16" t="s">
        <v>30</v>
      </c>
      <c r="F21" s="16" t="s">
        <v>87</v>
      </c>
      <c r="G21" s="16" t="s">
        <v>133</v>
      </c>
      <c r="H21" s="16" t="s">
        <v>134</v>
      </c>
      <c r="I21" s="18" t="n">
        <v>0</v>
      </c>
      <c r="J21" s="10" t="n">
        <f aca="false">IFERROR(I21/B21,0)</f>
        <v>0</v>
      </c>
      <c r="K21" s="9" t="str">
        <f aca="false">IF(B21=0,"N/A",IF(J21&gt;=1,"Achieved",IF(J21&gt;=0.5,"In Progress","Not Started")))</f>
        <v>Not Started</v>
      </c>
    </row>
    <row r="22" customFormat="false" ht="35.05" hidden="false" customHeight="false" outlineLevel="0" collapsed="false">
      <c r="A22" s="15" t="s">
        <v>177</v>
      </c>
      <c r="B22" s="17" t="n">
        <v>2</v>
      </c>
      <c r="C22" s="15" t="s">
        <v>178</v>
      </c>
      <c r="D22" s="7" t="s">
        <v>33</v>
      </c>
      <c r="E22" s="16" t="s">
        <v>34</v>
      </c>
      <c r="F22" s="16" t="s">
        <v>87</v>
      </c>
      <c r="G22" s="16" t="s">
        <v>135</v>
      </c>
      <c r="H22" s="16" t="s">
        <v>123</v>
      </c>
      <c r="I22" s="18" t="n">
        <v>0</v>
      </c>
      <c r="J22" s="10" t="n">
        <f aca="false">IFERROR(I22/B22,0)</f>
        <v>0</v>
      </c>
      <c r="K22" s="9" t="str">
        <f aca="false">IF(B22=0,"N/A",IF(J22&gt;=1,"Achieved",IF(J22&gt;=0.5,"In Progress","Not Started")))</f>
        <v>Not Started</v>
      </c>
    </row>
    <row r="23" customFormat="false" ht="15" hidden="false" customHeight="false" outlineLevel="0" collapsed="false">
      <c r="A23" s="15" t="s">
        <v>179</v>
      </c>
      <c r="B23" s="17" t="n">
        <v>3</v>
      </c>
      <c r="C23" s="15"/>
      <c r="D23" s="7" t="s">
        <v>33</v>
      </c>
      <c r="E23" s="16" t="s">
        <v>34</v>
      </c>
      <c r="F23" s="16" t="s">
        <v>87</v>
      </c>
      <c r="G23" s="16" t="s">
        <v>135</v>
      </c>
      <c r="H23" s="16" t="s">
        <v>123</v>
      </c>
      <c r="I23" s="18" t="n">
        <v>0</v>
      </c>
      <c r="J23" s="10" t="n">
        <f aca="false">IFERROR(I23/B23,0)</f>
        <v>0</v>
      </c>
      <c r="K23" s="9" t="str">
        <f aca="false">IF(B23=0,"N/A",IF(J23&gt;=1,"Achieved",IF(J23&gt;=0.5,"In Progress","Not Started")))</f>
        <v>Not Started</v>
      </c>
    </row>
    <row r="24" customFormat="false" ht="15" hidden="false" customHeight="false" outlineLevel="0" collapsed="false">
      <c r="A24" s="15" t="s">
        <v>180</v>
      </c>
      <c r="B24" s="17" t="n">
        <v>2</v>
      </c>
      <c r="C24" s="15"/>
      <c r="D24" s="7" t="s">
        <v>33</v>
      </c>
      <c r="E24" s="16" t="s">
        <v>34</v>
      </c>
      <c r="F24" s="16" t="s">
        <v>87</v>
      </c>
      <c r="G24" s="16" t="s">
        <v>135</v>
      </c>
      <c r="H24" s="16" t="s">
        <v>123</v>
      </c>
      <c r="I24" s="18" t="n">
        <v>0</v>
      </c>
      <c r="J24" s="10" t="n">
        <f aca="false">IFERROR(I24/B24,0)</f>
        <v>0</v>
      </c>
      <c r="K24" s="9" t="str">
        <f aca="false">IF(B24=0,"N/A",IF(J24&gt;=1,"Achieved",IF(J24&gt;=0.5,"In Progress","Not Started")))</f>
        <v>Not Started</v>
      </c>
    </row>
    <row r="25" customFormat="false" ht="15" hidden="false" customHeight="false" outlineLevel="0" collapsed="false">
      <c r="A25" s="15" t="s">
        <v>181</v>
      </c>
      <c r="B25" s="17" t="n">
        <v>10</v>
      </c>
      <c r="C25" s="15"/>
      <c r="D25" s="7" t="s">
        <v>33</v>
      </c>
      <c r="E25" s="16" t="s">
        <v>34</v>
      </c>
      <c r="F25" s="16" t="s">
        <v>87</v>
      </c>
      <c r="G25" s="16" t="s">
        <v>135</v>
      </c>
      <c r="H25" s="16" t="s">
        <v>123</v>
      </c>
      <c r="I25" s="18" t="n">
        <v>0</v>
      </c>
      <c r="J25" s="10" t="n">
        <f aca="false">IFERROR(I25/B25,0)</f>
        <v>0</v>
      </c>
      <c r="K25" s="9" t="str">
        <f aca="false">IF(B25=0,"N/A",IF(J25&gt;=1,"Achieved",IF(J25&gt;=0.5,"In Progress","Not Started")))</f>
        <v>Not Started</v>
      </c>
    </row>
    <row r="26" customFormat="false" ht="15" hidden="false" customHeight="false" outlineLevel="0" collapsed="false">
      <c r="A26" s="15" t="s">
        <v>182</v>
      </c>
      <c r="B26" s="17" t="n">
        <v>10</v>
      </c>
      <c r="C26" s="15"/>
      <c r="D26" s="7" t="s">
        <v>33</v>
      </c>
      <c r="E26" s="16" t="s">
        <v>34</v>
      </c>
      <c r="F26" s="16" t="s">
        <v>87</v>
      </c>
      <c r="G26" s="16" t="s">
        <v>135</v>
      </c>
      <c r="H26" s="16" t="s">
        <v>123</v>
      </c>
      <c r="I26" s="18" t="n">
        <v>0</v>
      </c>
      <c r="J26" s="10" t="n">
        <f aca="false">IFERROR(I26/B26,0)</f>
        <v>0</v>
      </c>
      <c r="K26" s="9" t="str">
        <f aca="false">IF(B26=0,"N/A",IF(J26&gt;=1,"Achieved",IF(J26&gt;=0.5,"In Progress","Not Started")))</f>
        <v>Not Started</v>
      </c>
    </row>
    <row r="27" customFormat="false" ht="15" hidden="false" customHeight="false" outlineLevel="0" collapsed="false">
      <c r="A27" s="15" t="s">
        <v>183</v>
      </c>
      <c r="B27" s="17" t="n">
        <v>10</v>
      </c>
      <c r="C27" s="15"/>
      <c r="D27" s="7" t="s">
        <v>33</v>
      </c>
      <c r="E27" s="16" t="s">
        <v>34</v>
      </c>
      <c r="F27" s="16" t="s">
        <v>87</v>
      </c>
      <c r="G27" s="16" t="s">
        <v>135</v>
      </c>
      <c r="H27" s="16" t="s">
        <v>123</v>
      </c>
      <c r="I27" s="18" t="n">
        <v>0</v>
      </c>
      <c r="J27" s="10" t="n">
        <f aca="false">IFERROR(I27/B27,0)</f>
        <v>0</v>
      </c>
      <c r="K27" s="9" t="str">
        <f aca="false">IF(B27=0,"N/A",IF(J27&gt;=1,"Achieved",IF(J27&gt;=0.5,"In Progress","Not Started")))</f>
        <v>Not Started</v>
      </c>
    </row>
    <row r="28" customFormat="false" ht="15" hidden="false" customHeight="false" outlineLevel="0" collapsed="false">
      <c r="A28" s="15" t="s">
        <v>184</v>
      </c>
      <c r="B28" s="17" t="n">
        <v>30</v>
      </c>
      <c r="C28" s="15"/>
      <c r="D28" s="7" t="s">
        <v>33</v>
      </c>
      <c r="E28" s="16" t="s">
        <v>34</v>
      </c>
      <c r="F28" s="16" t="s">
        <v>87</v>
      </c>
      <c r="G28" s="16" t="s">
        <v>135</v>
      </c>
      <c r="H28" s="16" t="s">
        <v>123</v>
      </c>
      <c r="I28" s="18" t="n">
        <v>0</v>
      </c>
      <c r="J28" s="10" t="n">
        <f aca="false">IFERROR(I28/B28,0)</f>
        <v>0</v>
      </c>
      <c r="K28" s="9" t="str">
        <f aca="false">IF(B28=0,"N/A",IF(J28&gt;=1,"Achieved",IF(J28&gt;=0.5,"In Progress","Not Started")))</f>
        <v>Not Started</v>
      </c>
    </row>
    <row r="29" customFormat="false" ht="15" hidden="false" customHeight="false" outlineLevel="0" collapsed="false">
      <c r="A29" s="15" t="s">
        <v>185</v>
      </c>
      <c r="B29" s="17" t="n">
        <v>0</v>
      </c>
      <c r="C29" s="15"/>
      <c r="D29" s="7" t="s">
        <v>33</v>
      </c>
      <c r="E29" s="16" t="s">
        <v>34</v>
      </c>
      <c r="F29" s="16" t="s">
        <v>87</v>
      </c>
      <c r="G29" s="16" t="s">
        <v>135</v>
      </c>
      <c r="H29" s="16" t="s">
        <v>123</v>
      </c>
      <c r="I29" s="18" t="n">
        <v>0</v>
      </c>
      <c r="J29" s="10" t="n">
        <f aca="false">IFERROR(I29/B29,0)</f>
        <v>0</v>
      </c>
      <c r="K29" s="9" t="str">
        <f aca="false">IF(B29=0,"N/A",IF(J29&gt;=1,"Achieved",IF(J29&gt;=0.5,"In Progress","Not Started")))</f>
        <v>N/A</v>
      </c>
    </row>
    <row r="30" customFormat="false" ht="15" hidden="false" customHeight="false" outlineLevel="0" collapsed="false">
      <c r="A30" s="15" t="s">
        <v>186</v>
      </c>
      <c r="B30" s="17" t="n">
        <v>0</v>
      </c>
      <c r="C30" s="15"/>
      <c r="D30" s="7" t="s">
        <v>33</v>
      </c>
      <c r="E30" s="16" t="s">
        <v>34</v>
      </c>
      <c r="F30" s="16" t="s">
        <v>87</v>
      </c>
      <c r="G30" s="16" t="s">
        <v>135</v>
      </c>
      <c r="H30" s="16" t="s">
        <v>123</v>
      </c>
      <c r="I30" s="18" t="n">
        <v>0</v>
      </c>
      <c r="J30" s="10" t="n">
        <f aca="false">IFERROR(I30/B30,0)</f>
        <v>0</v>
      </c>
      <c r="K30" s="9" t="str">
        <f aca="false">IF(B30=0,"N/A",IF(J30&gt;=1,"Achieved",IF(J30&gt;=0.5,"In Progress","Not Started")))</f>
        <v>N/A</v>
      </c>
    </row>
    <row r="31" customFormat="false" ht="15" hidden="false" customHeight="false" outlineLevel="0" collapsed="false">
      <c r="A31" s="15" t="s">
        <v>187</v>
      </c>
      <c r="B31" s="17" t="n">
        <v>35</v>
      </c>
      <c r="C31" s="15"/>
      <c r="D31" s="7" t="s">
        <v>33</v>
      </c>
      <c r="E31" s="16" t="s">
        <v>34</v>
      </c>
      <c r="F31" s="16" t="s">
        <v>87</v>
      </c>
      <c r="G31" s="16" t="s">
        <v>135</v>
      </c>
      <c r="H31" s="16" t="s">
        <v>123</v>
      </c>
      <c r="I31" s="18" t="n">
        <v>0</v>
      </c>
      <c r="J31" s="10" t="n">
        <f aca="false">IFERROR(I31/B31,0)</f>
        <v>0</v>
      </c>
      <c r="K31" s="9" t="str">
        <f aca="false">IF(B31=0,"N/A",IF(J31&gt;=1,"Achieved",IF(J31&gt;=0.5,"In Progress","Not Started")))</f>
        <v>Not Started</v>
      </c>
    </row>
    <row r="32" customFormat="false" ht="15" hidden="false" customHeight="false" outlineLevel="0" collapsed="false">
      <c r="A32" s="15" t="s">
        <v>188</v>
      </c>
      <c r="B32" s="17" t="n">
        <v>35</v>
      </c>
      <c r="C32" s="15"/>
      <c r="D32" s="7" t="s">
        <v>33</v>
      </c>
      <c r="E32" s="16" t="s">
        <v>34</v>
      </c>
      <c r="F32" s="16" t="s">
        <v>87</v>
      </c>
      <c r="G32" s="16" t="s">
        <v>135</v>
      </c>
      <c r="H32" s="16" t="s">
        <v>123</v>
      </c>
      <c r="I32" s="18" t="n">
        <v>0</v>
      </c>
      <c r="J32" s="10" t="n">
        <f aca="false">IFERROR(I32/B32,0)</f>
        <v>0</v>
      </c>
      <c r="K32" s="9" t="str">
        <f aca="false">IF(B32=0,"N/A",IF(J32&gt;=1,"Achieved",IF(J32&gt;=0.5,"In Progress","Not Started")))</f>
        <v>Not Started</v>
      </c>
    </row>
    <row r="33" customFormat="false" ht="15" hidden="false" customHeight="false" outlineLevel="0" collapsed="false">
      <c r="A33" s="15" t="s">
        <v>189</v>
      </c>
      <c r="B33" s="17" t="n">
        <v>0</v>
      </c>
      <c r="C33" s="15"/>
      <c r="D33" s="7" t="s">
        <v>33</v>
      </c>
      <c r="E33" s="16" t="s">
        <v>34</v>
      </c>
      <c r="F33" s="16" t="s">
        <v>87</v>
      </c>
      <c r="G33" s="16" t="s">
        <v>135</v>
      </c>
      <c r="H33" s="16" t="s">
        <v>123</v>
      </c>
      <c r="I33" s="18" t="n">
        <v>0</v>
      </c>
      <c r="J33" s="10" t="n">
        <f aca="false">IFERROR(I33/B33,0)</f>
        <v>0</v>
      </c>
      <c r="K33" s="9" t="str">
        <f aca="false">IF(B33=0,"N/A",IF(J33&gt;=1,"Achieved",IF(J33&gt;=0.5,"In Progress","Not Started")))</f>
        <v>N/A</v>
      </c>
    </row>
    <row r="34" customFormat="false" ht="15" hidden="false" customHeight="false" outlineLevel="0" collapsed="false">
      <c r="A34" s="15" t="s">
        <v>190</v>
      </c>
      <c r="B34" s="17" t="n">
        <v>10</v>
      </c>
      <c r="C34" s="15"/>
      <c r="D34" s="7" t="s">
        <v>33</v>
      </c>
      <c r="E34" s="16" t="s">
        <v>34</v>
      </c>
      <c r="F34" s="16" t="s">
        <v>87</v>
      </c>
      <c r="G34" s="16" t="s">
        <v>135</v>
      </c>
      <c r="H34" s="16" t="s">
        <v>123</v>
      </c>
      <c r="I34" s="18" t="n">
        <v>0</v>
      </c>
      <c r="J34" s="10" t="n">
        <f aca="false">IFERROR(I34/B34,0)</f>
        <v>0</v>
      </c>
      <c r="K34" s="9" t="str">
        <f aca="false">IF(B34=0,"N/A",IF(J34&gt;=1,"Achieved",IF(J34&gt;=0.5,"In Progress","Not Started")))</f>
        <v>Not Started</v>
      </c>
    </row>
    <row r="35" customFormat="false" ht="23.85" hidden="false" customHeight="false" outlineLevel="0" collapsed="false">
      <c r="A35" s="15" t="s">
        <v>191</v>
      </c>
      <c r="B35" s="17" t="n">
        <v>12</v>
      </c>
      <c r="C35" s="15"/>
      <c r="D35" s="7" t="s">
        <v>33</v>
      </c>
      <c r="E35" s="16" t="s">
        <v>34</v>
      </c>
      <c r="F35" s="16" t="s">
        <v>87</v>
      </c>
      <c r="G35" s="16" t="s">
        <v>135</v>
      </c>
      <c r="H35" s="16" t="s">
        <v>123</v>
      </c>
      <c r="I35" s="18" t="n">
        <v>0</v>
      </c>
      <c r="J35" s="10" t="n">
        <f aca="false">IFERROR(I35/B35,0)</f>
        <v>0</v>
      </c>
      <c r="K35" s="9" t="str">
        <f aca="false">IF(B35=0,"N/A",IF(J35&gt;=1,"Achieved",IF(J35&gt;=0.5,"In Progress","Not Started")))</f>
        <v>Not Started</v>
      </c>
    </row>
    <row r="36" customFormat="false" ht="15" hidden="false" customHeight="false" outlineLevel="0" collapsed="false">
      <c r="A36" s="15" t="s">
        <v>192</v>
      </c>
      <c r="B36" s="17" t="n">
        <v>15</v>
      </c>
      <c r="C36" s="15"/>
      <c r="D36" s="7" t="s">
        <v>33</v>
      </c>
      <c r="E36" s="16" t="s">
        <v>34</v>
      </c>
      <c r="F36" s="16" t="s">
        <v>87</v>
      </c>
      <c r="G36" s="16" t="s">
        <v>135</v>
      </c>
      <c r="H36" s="16" t="s">
        <v>123</v>
      </c>
      <c r="I36" s="18" t="n">
        <v>0</v>
      </c>
      <c r="J36" s="10" t="n">
        <f aca="false">IFERROR(I36/B36,0)</f>
        <v>0</v>
      </c>
      <c r="K36" s="9" t="str">
        <f aca="false">IF(B36=0,"N/A",IF(J36&gt;=1,"Achieved",IF(J36&gt;=0.5,"In Progress","Not Started")))</f>
        <v>Not Started</v>
      </c>
    </row>
    <row r="37" customFormat="false" ht="15" hidden="false" customHeight="false" outlineLevel="0" collapsed="false">
      <c r="A37" s="15" t="s">
        <v>193</v>
      </c>
      <c r="B37" s="17" t="n">
        <v>15</v>
      </c>
      <c r="C37" s="15"/>
      <c r="D37" s="7" t="s">
        <v>33</v>
      </c>
      <c r="E37" s="16" t="s">
        <v>34</v>
      </c>
      <c r="F37" s="16" t="s">
        <v>87</v>
      </c>
      <c r="G37" s="16" t="s">
        <v>135</v>
      </c>
      <c r="H37" s="16" t="s">
        <v>123</v>
      </c>
      <c r="I37" s="18" t="n">
        <v>0</v>
      </c>
      <c r="J37" s="10" t="n">
        <f aca="false">IFERROR(I37/B37,0)</f>
        <v>0</v>
      </c>
      <c r="K37" s="9" t="str">
        <f aca="false">IF(B37=0,"N/A",IF(J37&gt;=1,"Achieved",IF(J37&gt;=0.5,"In Progress","Not Started")))</f>
        <v>Not Started</v>
      </c>
    </row>
    <row r="38" customFormat="false" ht="15" hidden="false" customHeight="false" outlineLevel="0" collapsed="false">
      <c r="A38" s="15" t="s">
        <v>194</v>
      </c>
      <c r="B38" s="17" t="n">
        <v>0</v>
      </c>
      <c r="C38" s="15"/>
      <c r="D38" s="7" t="s">
        <v>33</v>
      </c>
      <c r="E38" s="16" t="s">
        <v>34</v>
      </c>
      <c r="F38" s="16" t="s">
        <v>87</v>
      </c>
      <c r="G38" s="16" t="s">
        <v>135</v>
      </c>
      <c r="H38" s="16" t="s">
        <v>123</v>
      </c>
      <c r="I38" s="18" t="n">
        <v>0</v>
      </c>
      <c r="J38" s="10" t="n">
        <f aca="false">IFERROR(I38/B38,0)</f>
        <v>0</v>
      </c>
      <c r="K38" s="9" t="str">
        <f aca="false">IF(B38=0,"N/A",IF(J38&gt;=1,"Achieved",IF(J38&gt;=0.5,"In Progress","Not Started")))</f>
        <v>N/A</v>
      </c>
    </row>
    <row r="39" customFormat="false" ht="15" hidden="false" customHeight="false" outlineLevel="0" collapsed="false">
      <c r="A39" s="15" t="s">
        <v>195</v>
      </c>
      <c r="B39" s="17" t="n">
        <v>35</v>
      </c>
      <c r="C39" s="15"/>
      <c r="D39" s="7" t="s">
        <v>33</v>
      </c>
      <c r="E39" s="16" t="s">
        <v>34</v>
      </c>
      <c r="F39" s="16" t="s">
        <v>87</v>
      </c>
      <c r="G39" s="16" t="s">
        <v>135</v>
      </c>
      <c r="H39" s="16" t="s">
        <v>123</v>
      </c>
      <c r="I39" s="18" t="n">
        <v>0</v>
      </c>
      <c r="J39" s="10" t="n">
        <f aca="false">IFERROR(I39/B39,0)</f>
        <v>0</v>
      </c>
      <c r="K39" s="9" t="str">
        <f aca="false">IF(B39=0,"N/A",IF(J39&gt;=1,"Achieved",IF(J39&gt;=0.5,"In Progress","Not Started")))</f>
        <v>Not Started</v>
      </c>
    </row>
    <row r="40" customFormat="false" ht="15" hidden="false" customHeight="false" outlineLevel="0" collapsed="false">
      <c r="A40" s="15" t="s">
        <v>196</v>
      </c>
      <c r="B40" s="17" t="n">
        <v>0</v>
      </c>
      <c r="C40" s="15"/>
      <c r="D40" s="7" t="s">
        <v>33</v>
      </c>
      <c r="E40" s="16" t="s">
        <v>34</v>
      </c>
      <c r="F40" s="16" t="s">
        <v>87</v>
      </c>
      <c r="G40" s="16" t="s">
        <v>135</v>
      </c>
      <c r="H40" s="16" t="s">
        <v>123</v>
      </c>
      <c r="I40" s="18" t="n">
        <v>0</v>
      </c>
      <c r="J40" s="10" t="n">
        <f aca="false">IFERROR(I40/B40,0)</f>
        <v>0</v>
      </c>
      <c r="K40" s="9" t="str">
        <f aca="false">IF(B40=0,"N/A",IF(J40&gt;=1,"Achieved",IF(J40&gt;=0.5,"In Progress","Not Started")))</f>
        <v>N/A</v>
      </c>
    </row>
    <row r="41" customFormat="false" ht="15" hidden="false" customHeight="false" outlineLevel="0" collapsed="false">
      <c r="A41" s="15" t="s">
        <v>197</v>
      </c>
      <c r="B41" s="17" t="n">
        <v>2</v>
      </c>
      <c r="C41" s="15"/>
      <c r="D41" s="7" t="s">
        <v>33</v>
      </c>
      <c r="E41" s="16" t="s">
        <v>34</v>
      </c>
      <c r="F41" s="16" t="s">
        <v>87</v>
      </c>
      <c r="G41" s="16" t="s">
        <v>135</v>
      </c>
      <c r="H41" s="16" t="s">
        <v>123</v>
      </c>
      <c r="I41" s="18" t="n">
        <v>0</v>
      </c>
      <c r="J41" s="10" t="n">
        <f aca="false">IFERROR(I41/B41,0)</f>
        <v>0</v>
      </c>
      <c r="K41" s="9" t="str">
        <f aca="false">IF(B41=0,"N/A",IF(J41&gt;=1,"Achieved",IF(J41&gt;=0.5,"In Progress","Not Started")))</f>
        <v>Not Started</v>
      </c>
    </row>
    <row r="42" customFormat="false" ht="23.85" hidden="false" customHeight="false" outlineLevel="0" collapsed="false">
      <c r="A42" s="15" t="s">
        <v>198</v>
      </c>
      <c r="B42" s="17" t="n">
        <v>0</v>
      </c>
      <c r="C42" s="15"/>
      <c r="D42" s="7" t="s">
        <v>33</v>
      </c>
      <c r="E42" s="16" t="s">
        <v>34</v>
      </c>
      <c r="F42" s="16" t="s">
        <v>87</v>
      </c>
      <c r="G42" s="16" t="s">
        <v>135</v>
      </c>
      <c r="H42" s="16" t="s">
        <v>123</v>
      </c>
      <c r="I42" s="18" t="n">
        <v>0</v>
      </c>
      <c r="J42" s="10" t="n">
        <f aca="false">IFERROR(I42/B42,0)</f>
        <v>0</v>
      </c>
      <c r="K42" s="9" t="str">
        <f aca="false">IF(B42=0,"N/A",IF(J42&gt;=1,"Achieved",IF(J42&gt;=0.5,"In Progress","Not Started")))</f>
        <v>N/A</v>
      </c>
    </row>
    <row r="43" customFormat="false" ht="15" hidden="false" customHeight="false" outlineLevel="0" collapsed="false">
      <c r="A43" s="15" t="s">
        <v>199</v>
      </c>
      <c r="B43" s="17" t="n">
        <v>10</v>
      </c>
      <c r="C43" s="15"/>
      <c r="D43" s="7" t="s">
        <v>33</v>
      </c>
      <c r="E43" s="16" t="s">
        <v>34</v>
      </c>
      <c r="F43" s="16" t="s">
        <v>87</v>
      </c>
      <c r="G43" s="16" t="s">
        <v>135</v>
      </c>
      <c r="H43" s="16" t="s">
        <v>123</v>
      </c>
      <c r="I43" s="18" t="n">
        <v>0</v>
      </c>
      <c r="J43" s="10" t="n">
        <f aca="false">IFERROR(I43/B43,0)</f>
        <v>0</v>
      </c>
      <c r="K43" s="9" t="str">
        <f aca="false">IF(B43=0,"N/A",IF(J43&gt;=1,"Achieved",IF(J43&gt;=0.5,"In Progress","Not Started")))</f>
        <v>Not Started</v>
      </c>
    </row>
    <row r="44" customFormat="false" ht="15" hidden="false" customHeight="false" outlineLevel="0" collapsed="false">
      <c r="A44" s="15" t="s">
        <v>200</v>
      </c>
      <c r="B44" s="17" t="n">
        <v>20</v>
      </c>
      <c r="C44" s="15"/>
      <c r="D44" s="7" t="s">
        <v>33</v>
      </c>
      <c r="E44" s="16" t="s">
        <v>34</v>
      </c>
      <c r="F44" s="16" t="s">
        <v>87</v>
      </c>
      <c r="G44" s="16" t="s">
        <v>135</v>
      </c>
      <c r="H44" s="16" t="s">
        <v>123</v>
      </c>
      <c r="I44" s="18" t="n">
        <v>0</v>
      </c>
      <c r="J44" s="10" t="n">
        <f aca="false">IFERROR(I44/B44,0)</f>
        <v>0</v>
      </c>
      <c r="K44" s="9" t="str">
        <f aca="false">IF(B44=0,"N/A",IF(J44&gt;=1,"Achieved",IF(J44&gt;=0.5,"In Progress","Not Started")))</f>
        <v>Not Started</v>
      </c>
    </row>
    <row r="45" customFormat="false" ht="15" hidden="false" customHeight="false" outlineLevel="0" collapsed="false">
      <c r="A45" s="15" t="s">
        <v>201</v>
      </c>
      <c r="B45" s="17" t="n">
        <v>3</v>
      </c>
      <c r="C45" s="15"/>
      <c r="D45" s="7" t="s">
        <v>33</v>
      </c>
      <c r="E45" s="16" t="s">
        <v>34</v>
      </c>
      <c r="F45" s="16" t="s">
        <v>87</v>
      </c>
      <c r="G45" s="16" t="s">
        <v>135</v>
      </c>
      <c r="H45" s="16" t="s">
        <v>123</v>
      </c>
      <c r="I45" s="18" t="n">
        <v>0</v>
      </c>
      <c r="J45" s="10" t="n">
        <f aca="false">IFERROR(I45/B45,0)</f>
        <v>0</v>
      </c>
      <c r="K45" s="9" t="str">
        <f aca="false">IF(B45=0,"N/A",IF(J45&gt;=1,"Achieved",IF(J45&gt;=0.5,"In Progress","Not Started")))</f>
        <v>Not Started</v>
      </c>
    </row>
    <row r="46" customFormat="false" ht="15" hidden="false" customHeight="false" outlineLevel="0" collapsed="false">
      <c r="A46" s="15" t="s">
        <v>202</v>
      </c>
      <c r="B46" s="17" t="n">
        <v>0</v>
      </c>
      <c r="C46" s="15"/>
      <c r="D46" s="7" t="s">
        <v>33</v>
      </c>
      <c r="E46" s="16" t="s">
        <v>34</v>
      </c>
      <c r="F46" s="16" t="s">
        <v>87</v>
      </c>
      <c r="G46" s="16" t="s">
        <v>135</v>
      </c>
      <c r="H46" s="16" t="s">
        <v>123</v>
      </c>
      <c r="I46" s="18" t="n">
        <v>0</v>
      </c>
      <c r="J46" s="10" t="n">
        <f aca="false">IFERROR(I46/B46,0)</f>
        <v>0</v>
      </c>
      <c r="K46" s="9" t="str">
        <f aca="false">IF(B46=0,"N/A",IF(J46&gt;=1,"Achieved",IF(J46&gt;=0.5,"In Progress","Not Started")))</f>
        <v>N/A</v>
      </c>
    </row>
    <row r="47" customFormat="false" ht="23.85" hidden="false" customHeight="false" outlineLevel="0" collapsed="false">
      <c r="A47" s="15" t="s">
        <v>203</v>
      </c>
      <c r="B47" s="17" t="n">
        <v>40</v>
      </c>
      <c r="C47" s="15"/>
      <c r="D47" s="7" t="s">
        <v>33</v>
      </c>
      <c r="E47" s="16" t="s">
        <v>34</v>
      </c>
      <c r="F47" s="16" t="s">
        <v>87</v>
      </c>
      <c r="G47" s="16" t="s">
        <v>135</v>
      </c>
      <c r="H47" s="16" t="s">
        <v>123</v>
      </c>
      <c r="I47" s="18" t="n">
        <v>0</v>
      </c>
      <c r="J47" s="10" t="n">
        <f aca="false">IFERROR(I47/B47,0)</f>
        <v>0</v>
      </c>
      <c r="K47" s="9" t="str">
        <f aca="false">IF(B47=0,"N/A",IF(J47&gt;=1,"Achieved",IF(J47&gt;=0.5,"In Progress","Not Started")))</f>
        <v>Not Started</v>
      </c>
    </row>
    <row r="48" customFormat="false" ht="15" hidden="false" customHeight="false" outlineLevel="0" collapsed="false">
      <c r="A48" s="15" t="s">
        <v>204</v>
      </c>
      <c r="B48" s="17" t="n">
        <v>45</v>
      </c>
      <c r="C48" s="15"/>
      <c r="D48" s="7" t="s">
        <v>35</v>
      </c>
      <c r="E48" s="16" t="s">
        <v>36</v>
      </c>
      <c r="F48" s="16" t="s">
        <v>87</v>
      </c>
      <c r="G48" s="16" t="s">
        <v>96</v>
      </c>
      <c r="H48" s="16" t="s">
        <v>123</v>
      </c>
      <c r="I48" s="18" t="n">
        <v>0</v>
      </c>
      <c r="J48" s="10" t="n">
        <f aca="false">IFERROR(I48/B48,0)</f>
        <v>0</v>
      </c>
      <c r="K48" s="9" t="str">
        <f aca="false">IF(B48=0,"N/A",IF(J48&gt;=1,"Achieved",IF(J48&gt;=0.5,"In Progress","Not Started")))</f>
        <v>Not Started</v>
      </c>
    </row>
    <row r="49" customFormat="false" ht="15" hidden="false" customHeight="false" outlineLevel="0" collapsed="false">
      <c r="A49" s="15" t="s">
        <v>205</v>
      </c>
      <c r="B49" s="17" t="n">
        <v>25</v>
      </c>
      <c r="C49" s="15"/>
      <c r="D49" s="7" t="s">
        <v>35</v>
      </c>
      <c r="E49" s="16" t="s">
        <v>36</v>
      </c>
      <c r="F49" s="16" t="s">
        <v>87</v>
      </c>
      <c r="G49" s="16" t="s">
        <v>96</v>
      </c>
      <c r="H49" s="16" t="s">
        <v>123</v>
      </c>
      <c r="I49" s="18" t="n">
        <v>0</v>
      </c>
      <c r="J49" s="10" t="n">
        <f aca="false">IFERROR(I49/B49,0)</f>
        <v>0</v>
      </c>
      <c r="K49" s="9" t="str">
        <f aca="false">IF(B49=0,"N/A",IF(J49&gt;=1,"Achieved",IF(J49&gt;=0.5,"In Progress","Not Started")))</f>
        <v>Not Started</v>
      </c>
    </row>
    <row r="50" customFormat="false" ht="15" hidden="false" customHeight="false" outlineLevel="0" collapsed="false">
      <c r="A50" s="15" t="s">
        <v>206</v>
      </c>
      <c r="B50" s="17" t="n">
        <v>15</v>
      </c>
      <c r="C50" s="15"/>
      <c r="D50" s="7" t="s">
        <v>35</v>
      </c>
      <c r="E50" s="16" t="s">
        <v>36</v>
      </c>
      <c r="F50" s="16" t="s">
        <v>87</v>
      </c>
      <c r="G50" s="16" t="s">
        <v>96</v>
      </c>
      <c r="H50" s="16" t="s">
        <v>123</v>
      </c>
      <c r="I50" s="18" t="n">
        <v>0</v>
      </c>
      <c r="J50" s="10" t="n">
        <f aca="false">IFERROR(I50/B50,0)</f>
        <v>0</v>
      </c>
      <c r="K50" s="9" t="str">
        <f aca="false">IF(B50=0,"N/A",IF(J50&gt;=1,"Achieved",IF(J50&gt;=0.5,"In Progress","Not Started")))</f>
        <v>Not Started</v>
      </c>
    </row>
    <row r="51" customFormat="false" ht="15" hidden="false" customHeight="false" outlineLevel="0" collapsed="false">
      <c r="A51" s="15" t="s">
        <v>207</v>
      </c>
      <c r="B51" s="17" t="n">
        <v>0</v>
      </c>
      <c r="C51" s="15"/>
      <c r="D51" s="7" t="s">
        <v>33</v>
      </c>
      <c r="E51" s="16" t="s">
        <v>34</v>
      </c>
      <c r="F51" s="16" t="s">
        <v>87</v>
      </c>
      <c r="G51" s="16" t="s">
        <v>135</v>
      </c>
      <c r="H51" s="16" t="s">
        <v>123</v>
      </c>
      <c r="I51" s="18" t="n">
        <v>0</v>
      </c>
      <c r="J51" s="10" t="n">
        <f aca="false">IFERROR(I51/B51,0)</f>
        <v>0</v>
      </c>
      <c r="K51" s="9" t="str">
        <f aca="false">IF(B51=0,"N/A",IF(J51&gt;=1,"Achieved",IF(J51&gt;=0.5,"In Progress","Not Started")))</f>
        <v>N/A</v>
      </c>
    </row>
    <row r="52" customFormat="false" ht="15" hidden="false" customHeight="false" outlineLevel="0" collapsed="false">
      <c r="A52" s="15" t="s">
        <v>208</v>
      </c>
      <c r="B52" s="17" t="n">
        <v>0</v>
      </c>
      <c r="C52" s="15"/>
      <c r="D52" s="7" t="s">
        <v>33</v>
      </c>
      <c r="E52" s="16" t="s">
        <v>34</v>
      </c>
      <c r="F52" s="16" t="s">
        <v>87</v>
      </c>
      <c r="G52" s="16" t="s">
        <v>135</v>
      </c>
      <c r="H52" s="16" t="s">
        <v>123</v>
      </c>
      <c r="I52" s="18" t="n">
        <v>0</v>
      </c>
      <c r="J52" s="10" t="n">
        <f aca="false">IFERROR(I52/B52,0)</f>
        <v>0</v>
      </c>
      <c r="K52" s="9" t="str">
        <f aca="false">IF(B52=0,"N/A",IF(J52&gt;=1,"Achieved",IF(J52&gt;=0.5,"In Progress","Not Started")))</f>
        <v>N/A</v>
      </c>
    </row>
    <row r="53" customFormat="false" ht="23.85" hidden="false" customHeight="false" outlineLevel="0" collapsed="false">
      <c r="A53" s="15" t="s">
        <v>209</v>
      </c>
      <c r="B53" s="17" t="n">
        <v>0</v>
      </c>
      <c r="C53" s="15"/>
      <c r="D53" s="7" t="s">
        <v>37</v>
      </c>
      <c r="E53" s="16" t="s">
        <v>38</v>
      </c>
      <c r="F53" s="16" t="s">
        <v>87</v>
      </c>
      <c r="G53" s="16" t="s">
        <v>96</v>
      </c>
      <c r="H53" s="16" t="s">
        <v>123</v>
      </c>
      <c r="I53" s="18" t="n">
        <v>0</v>
      </c>
      <c r="J53" s="10" t="n">
        <f aca="false">IFERROR(I53/B53,0)</f>
        <v>0</v>
      </c>
      <c r="K53" s="9" t="str">
        <f aca="false">IF(B53=0,"N/A",IF(J53&gt;=1,"Achieved",IF(J53&gt;=0.5,"In Progress","Not Started")))</f>
        <v>N/A</v>
      </c>
    </row>
    <row r="54" customFormat="false" ht="23.85" hidden="false" customHeight="false" outlineLevel="0" collapsed="false">
      <c r="A54" s="15" t="s">
        <v>210</v>
      </c>
      <c r="B54" s="17" t="n">
        <v>0</v>
      </c>
      <c r="C54" s="15"/>
      <c r="D54" s="7" t="s">
        <v>37</v>
      </c>
      <c r="E54" s="16" t="s">
        <v>38</v>
      </c>
      <c r="F54" s="16" t="s">
        <v>87</v>
      </c>
      <c r="G54" s="16" t="s">
        <v>96</v>
      </c>
      <c r="H54" s="16" t="s">
        <v>123</v>
      </c>
      <c r="I54" s="18" t="n">
        <v>0</v>
      </c>
      <c r="J54" s="10" t="n">
        <f aca="false">IFERROR(I54/B54,0)</f>
        <v>0</v>
      </c>
      <c r="K54" s="9" t="str">
        <f aca="false">IF(B54=0,"N/A",IF(J54&gt;=1,"Achieved",IF(J54&gt;=0.5,"In Progress","Not Started")))</f>
        <v>N/A</v>
      </c>
    </row>
    <row r="55" customFormat="false" ht="23.85" hidden="false" customHeight="false" outlineLevel="0" collapsed="false">
      <c r="A55" s="15" t="s">
        <v>211</v>
      </c>
      <c r="B55" s="17" t="n">
        <v>130</v>
      </c>
      <c r="C55" s="15"/>
      <c r="D55" s="7" t="s">
        <v>37</v>
      </c>
      <c r="E55" s="16" t="s">
        <v>38</v>
      </c>
      <c r="F55" s="16" t="s">
        <v>87</v>
      </c>
      <c r="G55" s="16" t="s">
        <v>96</v>
      </c>
      <c r="H55" s="16" t="s">
        <v>123</v>
      </c>
      <c r="I55" s="18" t="n">
        <v>0</v>
      </c>
      <c r="J55" s="10" t="n">
        <f aca="false">IFERROR(I55/B55,0)</f>
        <v>0</v>
      </c>
      <c r="K55" s="9" t="str">
        <f aca="false">IF(B55=0,"N/A",IF(J55&gt;=1,"Achieved",IF(J55&gt;=0.5,"In Progress","Not Started")))</f>
        <v>Not Started</v>
      </c>
    </row>
    <row r="56" customFormat="false" ht="15" hidden="false" customHeight="false" outlineLevel="0" collapsed="false">
      <c r="A56" s="15" t="s">
        <v>212</v>
      </c>
      <c r="B56" s="17" t="n">
        <v>2</v>
      </c>
      <c r="C56" s="15"/>
      <c r="D56" s="7" t="s">
        <v>37</v>
      </c>
      <c r="E56" s="16" t="s">
        <v>38</v>
      </c>
      <c r="F56" s="16" t="s">
        <v>87</v>
      </c>
      <c r="G56" s="16" t="s">
        <v>96</v>
      </c>
      <c r="H56" s="16" t="s">
        <v>123</v>
      </c>
      <c r="I56" s="18" t="n">
        <v>0</v>
      </c>
      <c r="J56" s="10" t="n">
        <f aca="false">IFERROR(I56/B56,0)</f>
        <v>0</v>
      </c>
      <c r="K56" s="9" t="str">
        <f aca="false">IF(B56=0,"N/A",IF(J56&gt;=1,"Achieved",IF(J56&gt;=0.5,"In Progress","Not Started")))</f>
        <v>Not Started</v>
      </c>
    </row>
    <row r="57" customFormat="false" ht="15" hidden="false" customHeight="false" outlineLevel="0" collapsed="false">
      <c r="A57" s="15" t="s">
        <v>213</v>
      </c>
      <c r="B57" s="17" t="n">
        <v>0</v>
      </c>
      <c r="C57" s="15"/>
      <c r="D57" s="7" t="s">
        <v>33</v>
      </c>
      <c r="E57" s="16" t="s">
        <v>34</v>
      </c>
      <c r="F57" s="16" t="s">
        <v>87</v>
      </c>
      <c r="G57" s="16" t="s">
        <v>135</v>
      </c>
      <c r="H57" s="16" t="s">
        <v>123</v>
      </c>
      <c r="I57" s="18" t="n">
        <v>0</v>
      </c>
      <c r="J57" s="10" t="n">
        <f aca="false">IFERROR(I57/B57,0)</f>
        <v>0</v>
      </c>
      <c r="K57" s="9" t="str">
        <f aca="false">IF(B57=0,"N/A",IF(J57&gt;=1,"Achieved",IF(J57&gt;=0.5,"In Progress","Not Started")))</f>
        <v>N/A</v>
      </c>
    </row>
    <row r="58" customFormat="false" ht="15" hidden="false" customHeight="false" outlineLevel="0" collapsed="false">
      <c r="A58" s="15" t="s">
        <v>214</v>
      </c>
      <c r="B58" s="17" t="n">
        <v>3</v>
      </c>
      <c r="C58" s="15"/>
      <c r="D58" s="7" t="s">
        <v>35</v>
      </c>
      <c r="E58" s="16" t="s">
        <v>36</v>
      </c>
      <c r="F58" s="16" t="s">
        <v>87</v>
      </c>
      <c r="G58" s="16" t="s">
        <v>96</v>
      </c>
      <c r="H58" s="16" t="s">
        <v>123</v>
      </c>
      <c r="I58" s="18" t="n">
        <v>0</v>
      </c>
      <c r="J58" s="10" t="n">
        <f aca="false">IFERROR(I58/B58,0)</f>
        <v>0</v>
      </c>
      <c r="K58" s="9" t="str">
        <f aca="false">IF(B58=0,"N/A",IF(J58&gt;=1,"Achieved",IF(J58&gt;=0.5,"In Progress","Not Started")))</f>
        <v>Not Started</v>
      </c>
    </row>
    <row r="59" customFormat="false" ht="15" hidden="false" customHeight="false" outlineLevel="0" collapsed="false">
      <c r="A59" s="15" t="s">
        <v>215</v>
      </c>
      <c r="B59" s="17" t="n">
        <v>5</v>
      </c>
      <c r="C59" s="15"/>
      <c r="D59" s="7" t="s">
        <v>35</v>
      </c>
      <c r="E59" s="16" t="s">
        <v>36</v>
      </c>
      <c r="F59" s="16" t="s">
        <v>87</v>
      </c>
      <c r="G59" s="16" t="s">
        <v>96</v>
      </c>
      <c r="H59" s="16" t="s">
        <v>123</v>
      </c>
      <c r="I59" s="18" t="n">
        <v>0</v>
      </c>
      <c r="J59" s="10" t="n">
        <f aca="false">IFERROR(I59/B59,0)</f>
        <v>0</v>
      </c>
      <c r="K59" s="9" t="str">
        <f aca="false">IF(B59=0,"N/A",IF(J59&gt;=1,"Achieved",IF(J59&gt;=0.5,"In Progress","Not Started")))</f>
        <v>Not Started</v>
      </c>
    </row>
    <row r="60" customFormat="false" ht="15" hidden="false" customHeight="false" outlineLevel="0" collapsed="false">
      <c r="A60" s="15" t="s">
        <v>216</v>
      </c>
      <c r="B60" s="17" t="n">
        <v>7</v>
      </c>
      <c r="C60" s="15"/>
      <c r="D60" s="7" t="s">
        <v>31</v>
      </c>
      <c r="E60" s="16" t="s">
        <v>32</v>
      </c>
      <c r="F60" s="16" t="s">
        <v>87</v>
      </c>
      <c r="G60" s="16" t="s">
        <v>92</v>
      </c>
      <c r="H60" s="16" t="s">
        <v>123</v>
      </c>
      <c r="I60" s="18" t="n">
        <v>0</v>
      </c>
      <c r="J60" s="10" t="n">
        <f aca="false">IFERROR(I60/B60,0)</f>
        <v>0</v>
      </c>
      <c r="K60" s="9" t="str">
        <f aca="false">IF(B60=0,"N/A",IF(J60&gt;=1,"Achieved",IF(J60&gt;=0.5,"In Progress","Not Started")))</f>
        <v>Not Started</v>
      </c>
    </row>
    <row r="61" customFormat="false" ht="15" hidden="false" customHeight="false" outlineLevel="0" collapsed="false">
      <c r="A61" s="15" t="s">
        <v>217</v>
      </c>
      <c r="B61" s="17" t="n">
        <v>22</v>
      </c>
      <c r="C61" s="15"/>
      <c r="D61" s="7" t="s">
        <v>31</v>
      </c>
      <c r="E61" s="16" t="s">
        <v>32</v>
      </c>
      <c r="F61" s="16" t="s">
        <v>87</v>
      </c>
      <c r="G61" s="16" t="s">
        <v>92</v>
      </c>
      <c r="H61" s="16" t="s">
        <v>123</v>
      </c>
      <c r="I61" s="18" t="n">
        <v>0</v>
      </c>
      <c r="J61" s="10" t="n">
        <f aca="false">IFERROR(I61/B61,0)</f>
        <v>0</v>
      </c>
      <c r="K61" s="9" t="str">
        <f aca="false">IF(B61=0,"N/A",IF(J61&gt;=1,"Achieved",IF(J61&gt;=0.5,"In Progress","Not Started")))</f>
        <v>Not Started</v>
      </c>
    </row>
    <row r="62" customFormat="false" ht="15" hidden="false" customHeight="false" outlineLevel="0" collapsed="false">
      <c r="A62" s="15" t="s">
        <v>218</v>
      </c>
      <c r="B62" s="17" t="n">
        <v>19</v>
      </c>
      <c r="C62" s="15"/>
      <c r="D62" s="7" t="s">
        <v>29</v>
      </c>
      <c r="E62" s="16" t="s">
        <v>30</v>
      </c>
      <c r="F62" s="16" t="s">
        <v>87</v>
      </c>
      <c r="G62" s="16" t="s">
        <v>133</v>
      </c>
      <c r="H62" s="16" t="s">
        <v>134</v>
      </c>
      <c r="I62" s="18" t="n">
        <v>0</v>
      </c>
      <c r="J62" s="10" t="n">
        <f aca="false">IFERROR(I62/B62,0)</f>
        <v>0</v>
      </c>
      <c r="K62" s="9" t="str">
        <f aca="false">IF(B62=0,"N/A",IF(J62&gt;=1,"Achieved",IF(J62&gt;=0.5,"In Progress","Not Started")))</f>
        <v>Not Started</v>
      </c>
    </row>
    <row r="63" customFormat="false" ht="15" hidden="false" customHeight="false" outlineLevel="0" collapsed="false">
      <c r="A63" s="15" t="s">
        <v>219</v>
      </c>
      <c r="B63" s="17" t="n">
        <v>3</v>
      </c>
      <c r="C63" s="15"/>
      <c r="D63" s="7" t="s">
        <v>29</v>
      </c>
      <c r="E63" s="16" t="s">
        <v>30</v>
      </c>
      <c r="F63" s="16" t="s">
        <v>87</v>
      </c>
      <c r="G63" s="16" t="s">
        <v>133</v>
      </c>
      <c r="H63" s="16" t="s">
        <v>134</v>
      </c>
      <c r="I63" s="18" t="n">
        <v>0</v>
      </c>
      <c r="J63" s="10" t="n">
        <f aca="false">IFERROR(I63/B63,0)</f>
        <v>0</v>
      </c>
      <c r="K63" s="9" t="str">
        <f aca="false">IF(B63=0,"N/A",IF(J63&gt;=1,"Achieved",IF(J63&gt;=0.5,"In Progress","Not Started")))</f>
        <v>Not Started</v>
      </c>
    </row>
    <row r="64" customFormat="false" ht="15" hidden="false" customHeight="false" outlineLevel="0" collapsed="false">
      <c r="A64" s="15" t="s">
        <v>220</v>
      </c>
      <c r="B64" s="17" t="n">
        <v>18</v>
      </c>
      <c r="C64" s="15"/>
      <c r="D64" s="7" t="s">
        <v>49</v>
      </c>
      <c r="E64" s="16" t="s">
        <v>50</v>
      </c>
      <c r="F64" s="16" t="s">
        <v>139</v>
      </c>
      <c r="G64" s="16" t="s">
        <v>96</v>
      </c>
      <c r="H64" s="16" t="s">
        <v>123</v>
      </c>
      <c r="I64" s="18" t="n">
        <v>0</v>
      </c>
      <c r="J64" s="10" t="n">
        <f aca="false">IFERROR(I64/B64,0)</f>
        <v>0</v>
      </c>
      <c r="K64" s="9" t="str">
        <f aca="false">IF(B64=0,"N/A",IF(J64&gt;=1,"Achieved",IF(J64&gt;=0.5,"In Progress","Not Started")))</f>
        <v>Not Started</v>
      </c>
    </row>
    <row r="65" customFormat="false" ht="15" hidden="false" customHeight="false" outlineLevel="0" collapsed="false">
      <c r="A65" s="15" t="s">
        <v>221</v>
      </c>
      <c r="B65" s="17" t="n">
        <v>18</v>
      </c>
      <c r="C65" s="15"/>
      <c r="D65" s="7" t="s">
        <v>29</v>
      </c>
      <c r="E65" s="16" t="s">
        <v>30</v>
      </c>
      <c r="F65" s="16" t="s">
        <v>87</v>
      </c>
      <c r="G65" s="16" t="s">
        <v>133</v>
      </c>
      <c r="H65" s="16" t="s">
        <v>134</v>
      </c>
      <c r="I65" s="18" t="n">
        <v>0</v>
      </c>
      <c r="J65" s="10" t="n">
        <f aca="false">IFERROR(I65/B65,0)</f>
        <v>0</v>
      </c>
      <c r="K65" s="9" t="str">
        <f aca="false">IF(B65=0,"N/A",IF(J65&gt;=1,"Achieved",IF(J65&gt;=0.5,"In Progress","Not Started")))</f>
        <v>Not Started</v>
      </c>
    </row>
    <row r="66" customFormat="false" ht="15" hidden="false" customHeight="false" outlineLevel="0" collapsed="false">
      <c r="A66" s="15" t="s">
        <v>222</v>
      </c>
      <c r="B66" s="17" t="n">
        <v>13</v>
      </c>
      <c r="C66" s="15"/>
      <c r="D66" s="7" t="s">
        <v>31</v>
      </c>
      <c r="E66" s="16" t="s">
        <v>32</v>
      </c>
      <c r="F66" s="16" t="s">
        <v>87</v>
      </c>
      <c r="G66" s="16" t="s">
        <v>92</v>
      </c>
      <c r="H66" s="16" t="s">
        <v>123</v>
      </c>
      <c r="I66" s="18" t="n">
        <v>0</v>
      </c>
      <c r="J66" s="10" t="n">
        <f aca="false">IFERROR(I66/B66,0)</f>
        <v>0</v>
      </c>
      <c r="K66" s="9" t="str">
        <f aca="false">IF(B66=0,"N/A",IF(J66&gt;=1,"Achieved",IF(J66&gt;=0.5,"In Progress","Not Started")))</f>
        <v>Not Started</v>
      </c>
    </row>
    <row r="67" customFormat="false" ht="15" hidden="false" customHeight="false" outlineLevel="0" collapsed="false">
      <c r="A67" s="15" t="s">
        <v>223</v>
      </c>
      <c r="B67" s="17" t="n">
        <v>16</v>
      </c>
      <c r="C67" s="15"/>
      <c r="D67" s="7" t="s">
        <v>31</v>
      </c>
      <c r="E67" s="16" t="s">
        <v>32</v>
      </c>
      <c r="F67" s="16" t="s">
        <v>87</v>
      </c>
      <c r="G67" s="16" t="s">
        <v>92</v>
      </c>
      <c r="H67" s="16" t="s">
        <v>123</v>
      </c>
      <c r="I67" s="18" t="n">
        <v>0</v>
      </c>
      <c r="J67" s="10" t="n">
        <f aca="false">IFERROR(I67/B67,0)</f>
        <v>0</v>
      </c>
      <c r="K67" s="9" t="str">
        <f aca="false">IF(B67=0,"N/A",IF(J67&gt;=1,"Achieved",IF(J67&gt;=0.5,"In Progress","Not Started")))</f>
        <v>Not Started</v>
      </c>
    </row>
    <row r="68" customFormat="false" ht="23.85" hidden="false" customHeight="false" outlineLevel="0" collapsed="false">
      <c r="A68" s="15" t="s">
        <v>224</v>
      </c>
      <c r="B68" s="17" t="n">
        <v>7</v>
      </c>
      <c r="C68" s="15"/>
      <c r="D68" s="7" t="s">
        <v>31</v>
      </c>
      <c r="E68" s="16" t="s">
        <v>32</v>
      </c>
      <c r="F68" s="16" t="s">
        <v>87</v>
      </c>
      <c r="G68" s="16" t="s">
        <v>92</v>
      </c>
      <c r="H68" s="16" t="s">
        <v>123</v>
      </c>
      <c r="I68" s="18" t="n">
        <v>0</v>
      </c>
      <c r="J68" s="10" t="n">
        <f aca="false">IFERROR(I68/B68,0)</f>
        <v>0</v>
      </c>
      <c r="K68" s="9" t="str">
        <f aca="false">IF(B68=0,"N/A",IF(J68&gt;=1,"Achieved",IF(J68&gt;=0.5,"In Progress","Not Started")))</f>
        <v>Not Started</v>
      </c>
    </row>
    <row r="69" customFormat="false" ht="15" hidden="false" customHeight="false" outlineLevel="0" collapsed="false">
      <c r="A69" s="15" t="s">
        <v>225</v>
      </c>
      <c r="B69" s="17" t="n">
        <v>23</v>
      </c>
      <c r="C69" s="15"/>
      <c r="D69" s="7" t="s">
        <v>49</v>
      </c>
      <c r="E69" s="16" t="s">
        <v>50</v>
      </c>
      <c r="F69" s="16" t="s">
        <v>139</v>
      </c>
      <c r="G69" s="16" t="s">
        <v>96</v>
      </c>
      <c r="H69" s="16" t="s">
        <v>123</v>
      </c>
      <c r="I69" s="18" t="n">
        <v>0</v>
      </c>
      <c r="J69" s="10" t="n">
        <f aca="false">IFERROR(I69/B69,0)</f>
        <v>0</v>
      </c>
      <c r="K69" s="9" t="str">
        <f aca="false">IF(B69=0,"N/A",IF(J69&gt;=1,"Achieved",IF(J69&gt;=0.5,"In Progress","Not Started")))</f>
        <v>Not Started</v>
      </c>
    </row>
    <row r="70" customFormat="false" ht="15" hidden="false" customHeight="false" outlineLevel="0" collapsed="false">
      <c r="A70" s="15" t="s">
        <v>226</v>
      </c>
      <c r="B70" s="17" t="n">
        <v>22</v>
      </c>
      <c r="C70" s="15"/>
      <c r="D70" s="7" t="s">
        <v>31</v>
      </c>
      <c r="E70" s="16" t="s">
        <v>32</v>
      </c>
      <c r="F70" s="16" t="s">
        <v>87</v>
      </c>
      <c r="G70" s="16" t="s">
        <v>92</v>
      </c>
      <c r="H70" s="16" t="s">
        <v>123</v>
      </c>
      <c r="I70" s="18" t="n">
        <v>0</v>
      </c>
      <c r="J70" s="10" t="n">
        <f aca="false">IFERROR(I70/B70,0)</f>
        <v>0</v>
      </c>
      <c r="K70" s="9" t="str">
        <f aca="false">IF(B70=0,"N/A",IF(J70&gt;=1,"Achieved",IF(J70&gt;=0.5,"In Progress","Not Started")))</f>
        <v>Not Started</v>
      </c>
    </row>
    <row r="71" customFormat="false" ht="15" hidden="false" customHeight="false" outlineLevel="0" collapsed="false">
      <c r="A71" s="15" t="s">
        <v>227</v>
      </c>
      <c r="B71" s="17" t="n">
        <v>15</v>
      </c>
      <c r="C71" s="15"/>
      <c r="D71" s="7" t="s">
        <v>31</v>
      </c>
      <c r="E71" s="16" t="s">
        <v>32</v>
      </c>
      <c r="F71" s="16" t="s">
        <v>87</v>
      </c>
      <c r="G71" s="16" t="s">
        <v>92</v>
      </c>
      <c r="H71" s="16" t="s">
        <v>123</v>
      </c>
      <c r="I71" s="18" t="n">
        <v>0</v>
      </c>
      <c r="J71" s="10" t="n">
        <f aca="false">IFERROR(I71/B71,0)</f>
        <v>0</v>
      </c>
      <c r="K71" s="9" t="str">
        <f aca="false">IF(B71=0,"N/A",IF(J71&gt;=1,"Achieved",IF(J71&gt;=0.5,"In Progress","Not Started")))</f>
        <v>Not Started</v>
      </c>
    </row>
    <row r="72" customFormat="false" ht="15" hidden="false" customHeight="false" outlineLevel="0" collapsed="false">
      <c r="A72" s="15" t="s">
        <v>228</v>
      </c>
      <c r="B72" s="17" t="n">
        <v>100</v>
      </c>
      <c r="C72" s="15"/>
      <c r="D72" s="7" t="s">
        <v>31</v>
      </c>
      <c r="E72" s="16" t="s">
        <v>32</v>
      </c>
      <c r="F72" s="16" t="s">
        <v>87</v>
      </c>
      <c r="G72" s="16" t="s">
        <v>92</v>
      </c>
      <c r="H72" s="16" t="s">
        <v>123</v>
      </c>
      <c r="I72" s="18" t="n">
        <v>0</v>
      </c>
      <c r="J72" s="10" t="n">
        <f aca="false">IFERROR(I72/B72,0)</f>
        <v>0</v>
      </c>
      <c r="K72" s="9" t="str">
        <f aca="false">IF(B72=0,"N/A",IF(J72&gt;=1,"Achieved",IF(J72&gt;=0.5,"In Progress","Not Started")))</f>
        <v>Not Started</v>
      </c>
    </row>
    <row r="73" customFormat="false" ht="23.85" hidden="false" customHeight="false" outlineLevel="0" collapsed="false">
      <c r="A73" s="15" t="s">
        <v>229</v>
      </c>
      <c r="B73" s="17" t="n">
        <v>0</v>
      </c>
      <c r="C73" s="15"/>
      <c r="D73" s="7" t="s">
        <v>37</v>
      </c>
      <c r="E73" s="16" t="s">
        <v>38</v>
      </c>
      <c r="F73" s="16" t="s">
        <v>87</v>
      </c>
      <c r="G73" s="16" t="s">
        <v>96</v>
      </c>
      <c r="H73" s="16" t="s">
        <v>123</v>
      </c>
      <c r="I73" s="18" t="n">
        <v>0</v>
      </c>
      <c r="J73" s="10" t="n">
        <f aca="false">IFERROR(I73/B73,0)</f>
        <v>0</v>
      </c>
      <c r="K73" s="9" t="str">
        <f aca="false">IF(B73=0,"N/A",IF(J73&gt;=1,"Achieved",IF(J73&gt;=0.5,"In Progress","Not Started")))</f>
        <v>N/A</v>
      </c>
    </row>
    <row r="74" customFormat="false" ht="15" hidden="false" customHeight="false" outlineLevel="0" collapsed="false">
      <c r="A74" s="15" t="s">
        <v>230</v>
      </c>
      <c r="B74" s="17" t="n">
        <v>0</v>
      </c>
      <c r="C74" s="15"/>
      <c r="D74" s="7" t="s">
        <v>37</v>
      </c>
      <c r="E74" s="16" t="s">
        <v>38</v>
      </c>
      <c r="F74" s="16" t="s">
        <v>87</v>
      </c>
      <c r="G74" s="16" t="s">
        <v>96</v>
      </c>
      <c r="H74" s="16" t="s">
        <v>123</v>
      </c>
      <c r="I74" s="18" t="n">
        <v>0</v>
      </c>
      <c r="J74" s="10" t="n">
        <f aca="false">IFERROR(I74/B74,0)</f>
        <v>0</v>
      </c>
      <c r="K74" s="9" t="str">
        <f aca="false">IF(B74=0,"N/A",IF(J74&gt;=1,"Achieved",IF(J74&gt;=0.5,"In Progress","Not Started")))</f>
        <v>N/A</v>
      </c>
    </row>
    <row r="75" customFormat="false" ht="23.85" hidden="false" customHeight="false" outlineLevel="0" collapsed="false">
      <c r="A75" s="15" t="s">
        <v>231</v>
      </c>
      <c r="B75" s="17" t="n">
        <v>0</v>
      </c>
      <c r="C75" s="15"/>
      <c r="D75" s="7" t="s">
        <v>37</v>
      </c>
      <c r="E75" s="16" t="s">
        <v>38</v>
      </c>
      <c r="F75" s="16" t="s">
        <v>87</v>
      </c>
      <c r="G75" s="16" t="s">
        <v>96</v>
      </c>
      <c r="H75" s="16" t="s">
        <v>123</v>
      </c>
      <c r="I75" s="18" t="n">
        <v>0</v>
      </c>
      <c r="J75" s="10" t="n">
        <f aca="false">IFERROR(I75/B75,0)</f>
        <v>0</v>
      </c>
      <c r="K75" s="9" t="str">
        <f aca="false">IF(B75=0,"N/A",IF(J75&gt;=1,"Achieved",IF(J75&gt;=0.5,"In Progress","Not Started")))</f>
        <v>N/A</v>
      </c>
    </row>
    <row r="76" customFormat="false" ht="15" hidden="false" customHeight="false" outlineLevel="0" collapsed="false">
      <c r="A76" s="15" t="s">
        <v>232</v>
      </c>
      <c r="B76" s="17" t="n">
        <v>3</v>
      </c>
      <c r="C76" s="15"/>
      <c r="D76" s="7" t="s">
        <v>37</v>
      </c>
      <c r="E76" s="16" t="s">
        <v>38</v>
      </c>
      <c r="F76" s="16" t="s">
        <v>87</v>
      </c>
      <c r="G76" s="16" t="s">
        <v>96</v>
      </c>
      <c r="H76" s="16" t="s">
        <v>123</v>
      </c>
      <c r="I76" s="18" t="n">
        <v>0</v>
      </c>
      <c r="J76" s="10" t="n">
        <f aca="false">IFERROR(I76/B76,0)</f>
        <v>0</v>
      </c>
      <c r="K76" s="9" t="str">
        <f aca="false">IF(B76=0,"N/A",IF(J76&gt;=1,"Achieved",IF(J76&gt;=0.5,"In Progress","Not Started")))</f>
        <v>Not Started</v>
      </c>
    </row>
    <row r="77" customFormat="false" ht="23.85" hidden="false" customHeight="false" outlineLevel="0" collapsed="false">
      <c r="A77" s="15" t="s">
        <v>233</v>
      </c>
      <c r="B77" s="17" t="n">
        <v>5</v>
      </c>
      <c r="C77" s="15"/>
      <c r="D77" s="7" t="s">
        <v>37</v>
      </c>
      <c r="E77" s="16" t="s">
        <v>38</v>
      </c>
      <c r="F77" s="16" t="s">
        <v>87</v>
      </c>
      <c r="G77" s="16" t="s">
        <v>96</v>
      </c>
      <c r="H77" s="16" t="s">
        <v>123</v>
      </c>
      <c r="I77" s="18" t="n">
        <v>0</v>
      </c>
      <c r="J77" s="10" t="n">
        <f aca="false">IFERROR(I77/B77,0)</f>
        <v>0</v>
      </c>
      <c r="K77" s="9" t="str">
        <f aca="false">IF(B77=0,"N/A",IF(J77&gt;=1,"Achieved",IF(J77&gt;=0.5,"In Progress","Not Started")))</f>
        <v>Not Started</v>
      </c>
    </row>
    <row r="78" customFormat="false" ht="35.05" hidden="false" customHeight="false" outlineLevel="0" collapsed="false">
      <c r="A78" s="15" t="s">
        <v>234</v>
      </c>
      <c r="B78" s="17" t="n">
        <v>15</v>
      </c>
      <c r="C78" s="15"/>
      <c r="D78" s="7" t="s">
        <v>37</v>
      </c>
      <c r="E78" s="16" t="s">
        <v>38</v>
      </c>
      <c r="F78" s="16" t="s">
        <v>87</v>
      </c>
      <c r="G78" s="16" t="s">
        <v>96</v>
      </c>
      <c r="H78" s="16" t="s">
        <v>123</v>
      </c>
      <c r="I78" s="18" t="n">
        <v>0</v>
      </c>
      <c r="J78" s="10" t="n">
        <f aca="false">IFERROR(I78/B78,0)</f>
        <v>0</v>
      </c>
      <c r="K78" s="9" t="str">
        <f aca="false">IF(B78=0,"N/A",IF(J78&gt;=1,"Achieved",IF(J78&gt;=0.5,"In Progress","Not Started")))</f>
        <v>Not Started</v>
      </c>
    </row>
    <row r="79" customFormat="false" ht="35.05" hidden="false" customHeight="false" outlineLevel="0" collapsed="false">
      <c r="A79" s="15" t="s">
        <v>235</v>
      </c>
      <c r="B79" s="17" t="n">
        <v>8</v>
      </c>
      <c r="C79" s="15"/>
      <c r="D79" s="7" t="s">
        <v>37</v>
      </c>
      <c r="E79" s="16" t="s">
        <v>38</v>
      </c>
      <c r="F79" s="16" t="s">
        <v>87</v>
      </c>
      <c r="G79" s="16" t="s">
        <v>96</v>
      </c>
      <c r="H79" s="16" t="s">
        <v>123</v>
      </c>
      <c r="I79" s="18" t="n">
        <v>0</v>
      </c>
      <c r="J79" s="10" t="n">
        <f aca="false">IFERROR(I79/B79,0)</f>
        <v>0</v>
      </c>
      <c r="K79" s="9" t="str">
        <f aca="false">IF(B79=0,"N/A",IF(J79&gt;=1,"Achieved",IF(J79&gt;=0.5,"In Progress","Not Started")))</f>
        <v>Not Started</v>
      </c>
    </row>
    <row r="80" customFormat="false" ht="15" hidden="false" customHeight="false" outlineLevel="0" collapsed="false">
      <c r="A80" s="15" t="s">
        <v>236</v>
      </c>
      <c r="B80" s="17" t="n">
        <v>1</v>
      </c>
      <c r="C80" s="15"/>
      <c r="D80" s="7" t="s">
        <v>37</v>
      </c>
      <c r="E80" s="16" t="s">
        <v>38</v>
      </c>
      <c r="F80" s="16" t="s">
        <v>87</v>
      </c>
      <c r="G80" s="16" t="s">
        <v>96</v>
      </c>
      <c r="H80" s="16" t="s">
        <v>123</v>
      </c>
      <c r="I80" s="18" t="n">
        <v>0</v>
      </c>
      <c r="J80" s="10" t="n">
        <f aca="false">IFERROR(I80/B80,0)</f>
        <v>0</v>
      </c>
      <c r="K80" s="9" t="str">
        <f aca="false">IF(B80=0,"N/A",IF(J80&gt;=1,"Achieved",IF(J80&gt;=0.5,"In Progress","Not Started")))</f>
        <v>Not Started</v>
      </c>
    </row>
    <row r="81" customFormat="false" ht="15" hidden="false" customHeight="false" outlineLevel="0" collapsed="false">
      <c r="A81" s="15" t="s">
        <v>237</v>
      </c>
      <c r="B81" s="17" t="n">
        <v>5</v>
      </c>
      <c r="C81" s="15"/>
      <c r="D81" s="7" t="s">
        <v>37</v>
      </c>
      <c r="E81" s="16" t="s">
        <v>38</v>
      </c>
      <c r="F81" s="16" t="s">
        <v>87</v>
      </c>
      <c r="G81" s="16" t="s">
        <v>96</v>
      </c>
      <c r="H81" s="16" t="s">
        <v>123</v>
      </c>
      <c r="I81" s="18" t="n">
        <v>0</v>
      </c>
      <c r="J81" s="10" t="n">
        <f aca="false">IFERROR(I81/B81,0)</f>
        <v>0</v>
      </c>
      <c r="K81" s="9" t="str">
        <f aca="false">IF(B81=0,"N/A",IF(J81&gt;=1,"Achieved",IF(J81&gt;=0.5,"In Progress","Not Started")))</f>
        <v>Not Started</v>
      </c>
    </row>
    <row r="82" customFormat="false" ht="15" hidden="false" customHeight="false" outlineLevel="0" collapsed="false">
      <c r="A82" s="15" t="s">
        <v>238</v>
      </c>
      <c r="B82" s="17" t="n">
        <v>30</v>
      </c>
      <c r="C82" s="15"/>
      <c r="D82" s="7" t="s">
        <v>39</v>
      </c>
      <c r="E82" s="16" t="s">
        <v>40</v>
      </c>
      <c r="F82" s="16" t="s">
        <v>85</v>
      </c>
      <c r="G82" s="16" t="s">
        <v>136</v>
      </c>
      <c r="H82" s="16" t="s">
        <v>134</v>
      </c>
      <c r="I82" s="18" t="n">
        <v>0</v>
      </c>
      <c r="J82" s="10" t="n">
        <f aca="false">IFERROR(I82/B82,0)</f>
        <v>0</v>
      </c>
      <c r="K82" s="9" t="str">
        <f aca="false">IF(B82=0,"N/A",IF(J82&gt;=1,"Achieved",IF(J82&gt;=0.5,"In Progress","Not Started")))</f>
        <v>Not Started</v>
      </c>
    </row>
    <row r="83" customFormat="false" ht="15" hidden="false" customHeight="false" outlineLevel="0" collapsed="false">
      <c r="A83" s="15" t="s">
        <v>239</v>
      </c>
      <c r="B83" s="17" t="n">
        <v>3</v>
      </c>
      <c r="C83" s="15"/>
      <c r="D83" s="7" t="s">
        <v>39</v>
      </c>
      <c r="E83" s="16" t="s">
        <v>40</v>
      </c>
      <c r="F83" s="16" t="s">
        <v>85</v>
      </c>
      <c r="G83" s="16" t="s">
        <v>136</v>
      </c>
      <c r="H83" s="16" t="s">
        <v>134</v>
      </c>
      <c r="I83" s="18" t="n">
        <v>0</v>
      </c>
      <c r="J83" s="10" t="n">
        <f aca="false">IFERROR(I83/B83,0)</f>
        <v>0</v>
      </c>
      <c r="K83" s="9" t="str">
        <f aca="false">IF(B83=0,"N/A",IF(J83&gt;=1,"Achieved",IF(J83&gt;=0.5,"In Progress","Not Started")))</f>
        <v>Not Started</v>
      </c>
    </row>
    <row r="84" customFormat="false" ht="15" hidden="false" customHeight="false" outlineLevel="0" collapsed="false">
      <c r="A84" s="15" t="s">
        <v>240</v>
      </c>
      <c r="B84" s="17" t="n">
        <v>80</v>
      </c>
      <c r="C84" s="15"/>
      <c r="D84" s="7" t="s">
        <v>39</v>
      </c>
      <c r="E84" s="16" t="s">
        <v>40</v>
      </c>
      <c r="F84" s="16" t="s">
        <v>85</v>
      </c>
      <c r="G84" s="16" t="s">
        <v>136</v>
      </c>
      <c r="H84" s="16" t="s">
        <v>134</v>
      </c>
      <c r="I84" s="18" t="n">
        <v>0</v>
      </c>
      <c r="J84" s="10" t="n">
        <f aca="false">IFERROR(I84/B84,0)</f>
        <v>0</v>
      </c>
      <c r="K84" s="9" t="str">
        <f aca="false">IF(B84=0,"N/A",IF(J84&gt;=1,"Achieved",IF(J84&gt;=0.5,"In Progress","Not Started")))</f>
        <v>Not Started</v>
      </c>
    </row>
    <row r="85" customFormat="false" ht="15" hidden="false" customHeight="false" outlineLevel="0" collapsed="false">
      <c r="A85" s="15" t="s">
        <v>241</v>
      </c>
      <c r="B85" s="17" t="n">
        <v>20</v>
      </c>
      <c r="C85" s="15"/>
      <c r="D85" s="7" t="s">
        <v>39</v>
      </c>
      <c r="E85" s="16" t="s">
        <v>40</v>
      </c>
      <c r="F85" s="16" t="s">
        <v>85</v>
      </c>
      <c r="G85" s="16" t="s">
        <v>136</v>
      </c>
      <c r="H85" s="16" t="s">
        <v>134</v>
      </c>
      <c r="I85" s="18" t="n">
        <v>0</v>
      </c>
      <c r="J85" s="10" t="n">
        <f aca="false">IFERROR(I85/B85,0)</f>
        <v>0</v>
      </c>
      <c r="K85" s="9" t="str">
        <f aca="false">IF(B85=0,"N/A",IF(J85&gt;=1,"Achieved",IF(J85&gt;=0.5,"In Progress","Not Started")))</f>
        <v>Not Started</v>
      </c>
    </row>
    <row r="86" customFormat="false" ht="15" hidden="false" customHeight="false" outlineLevel="0" collapsed="false">
      <c r="A86" s="15" t="s">
        <v>242</v>
      </c>
      <c r="B86" s="17" t="n">
        <v>7</v>
      </c>
      <c r="C86" s="15"/>
      <c r="D86" s="7" t="s">
        <v>39</v>
      </c>
      <c r="E86" s="16" t="s">
        <v>40</v>
      </c>
      <c r="F86" s="16" t="s">
        <v>85</v>
      </c>
      <c r="G86" s="16" t="s">
        <v>136</v>
      </c>
      <c r="H86" s="16" t="s">
        <v>134</v>
      </c>
      <c r="I86" s="18" t="n">
        <v>0</v>
      </c>
      <c r="J86" s="10" t="n">
        <f aca="false">IFERROR(I86/B86,0)</f>
        <v>0</v>
      </c>
      <c r="K86" s="9" t="str">
        <f aca="false">IF(B86=0,"N/A",IF(J86&gt;=1,"Achieved",IF(J86&gt;=0.5,"In Progress","Not Started")))</f>
        <v>Not Started</v>
      </c>
    </row>
    <row r="87" customFormat="false" ht="15" hidden="false" customHeight="false" outlineLevel="0" collapsed="false">
      <c r="A87" s="15" t="s">
        <v>243</v>
      </c>
      <c r="B87" s="17" t="n">
        <v>0</v>
      </c>
      <c r="C87" s="15"/>
      <c r="D87" s="7" t="s">
        <v>39</v>
      </c>
      <c r="E87" s="16" t="s">
        <v>40</v>
      </c>
      <c r="F87" s="16" t="s">
        <v>85</v>
      </c>
      <c r="G87" s="16" t="s">
        <v>136</v>
      </c>
      <c r="H87" s="16" t="s">
        <v>134</v>
      </c>
      <c r="I87" s="18" t="n">
        <v>0</v>
      </c>
      <c r="J87" s="10" t="n">
        <f aca="false">IFERROR(I87/B87,0)</f>
        <v>0</v>
      </c>
      <c r="K87" s="9" t="str">
        <f aca="false">IF(B87=0,"N/A",IF(J87&gt;=1,"Achieved",IF(J87&gt;=0.5,"In Progress","Not Started")))</f>
        <v>N/A</v>
      </c>
    </row>
    <row r="88" customFormat="false" ht="15" hidden="false" customHeight="false" outlineLevel="0" collapsed="false">
      <c r="A88" s="15" t="s">
        <v>244</v>
      </c>
      <c r="B88" s="17" t="n">
        <v>0</v>
      </c>
      <c r="C88" s="15"/>
      <c r="D88" s="7" t="s">
        <v>39</v>
      </c>
      <c r="E88" s="16" t="s">
        <v>40</v>
      </c>
      <c r="F88" s="16" t="s">
        <v>85</v>
      </c>
      <c r="G88" s="16" t="s">
        <v>136</v>
      </c>
      <c r="H88" s="16" t="s">
        <v>134</v>
      </c>
      <c r="I88" s="18" t="n">
        <v>0</v>
      </c>
      <c r="J88" s="10" t="n">
        <f aca="false">IFERROR(I88/B88,0)</f>
        <v>0</v>
      </c>
      <c r="K88" s="9" t="str">
        <f aca="false">IF(B88=0,"N/A",IF(J88&gt;=1,"Achieved",IF(J88&gt;=0.5,"In Progress","Not Started")))</f>
        <v>N/A</v>
      </c>
    </row>
    <row r="89" customFormat="false" ht="15" hidden="false" customHeight="false" outlineLevel="0" collapsed="false">
      <c r="A89" s="15" t="s">
        <v>245</v>
      </c>
      <c r="B89" s="17" t="n">
        <v>0</v>
      </c>
      <c r="C89" s="15"/>
      <c r="D89" s="7" t="s">
        <v>39</v>
      </c>
      <c r="E89" s="16" t="s">
        <v>40</v>
      </c>
      <c r="F89" s="16" t="s">
        <v>85</v>
      </c>
      <c r="G89" s="16" t="s">
        <v>136</v>
      </c>
      <c r="H89" s="16" t="s">
        <v>134</v>
      </c>
      <c r="I89" s="18" t="n">
        <v>0</v>
      </c>
      <c r="J89" s="10" t="n">
        <f aca="false">IFERROR(I89/B89,0)</f>
        <v>0</v>
      </c>
      <c r="K89" s="9" t="str">
        <f aca="false">IF(B89=0,"N/A",IF(J89&gt;=1,"Achieved",IF(J89&gt;=0.5,"In Progress","Not Started")))</f>
        <v>N/A</v>
      </c>
    </row>
    <row r="90" customFormat="false" ht="15" hidden="false" customHeight="false" outlineLevel="0" collapsed="false">
      <c r="A90" s="15" t="s">
        <v>246</v>
      </c>
      <c r="B90" s="17" t="n">
        <v>5</v>
      </c>
      <c r="C90" s="15"/>
      <c r="D90" s="7" t="s">
        <v>41</v>
      </c>
      <c r="E90" s="16" t="s">
        <v>42</v>
      </c>
      <c r="F90" s="16" t="s">
        <v>87</v>
      </c>
      <c r="G90" s="16" t="s">
        <v>96</v>
      </c>
      <c r="H90" s="16" t="s">
        <v>123</v>
      </c>
      <c r="I90" s="18" t="n">
        <v>0</v>
      </c>
      <c r="J90" s="10" t="n">
        <f aca="false">IFERROR(I90/B90,0)</f>
        <v>0</v>
      </c>
      <c r="K90" s="9" t="str">
        <f aca="false">IF(B90=0,"N/A",IF(J90&gt;=1,"Achieved",IF(J90&gt;=0.5,"In Progress","Not Started")))</f>
        <v>Not Started</v>
      </c>
    </row>
    <row r="91" customFormat="false" ht="15" hidden="false" customHeight="false" outlineLevel="0" collapsed="false">
      <c r="A91" s="15" t="s">
        <v>247</v>
      </c>
      <c r="B91" s="17" t="n">
        <v>0</v>
      </c>
      <c r="C91" s="15"/>
      <c r="D91" s="7" t="s">
        <v>41</v>
      </c>
      <c r="E91" s="16" t="s">
        <v>42</v>
      </c>
      <c r="F91" s="16" t="s">
        <v>87</v>
      </c>
      <c r="G91" s="16" t="s">
        <v>96</v>
      </c>
      <c r="H91" s="16" t="s">
        <v>123</v>
      </c>
      <c r="I91" s="18" t="n">
        <v>0</v>
      </c>
      <c r="J91" s="10" t="n">
        <f aca="false">IFERROR(I91/B91,0)</f>
        <v>0</v>
      </c>
      <c r="K91" s="9" t="str">
        <f aca="false">IF(B91=0,"N/A",IF(J91&gt;=1,"Achieved",IF(J91&gt;=0.5,"In Progress","Not Started")))</f>
        <v>N/A</v>
      </c>
    </row>
    <row r="92" customFormat="false" ht="15" hidden="false" customHeight="false" outlineLevel="0" collapsed="false">
      <c r="A92" s="15" t="s">
        <v>248</v>
      </c>
      <c r="B92" s="17" t="n">
        <v>0</v>
      </c>
      <c r="C92" s="15"/>
      <c r="D92" s="7" t="s">
        <v>41</v>
      </c>
      <c r="E92" s="16" t="s">
        <v>42</v>
      </c>
      <c r="F92" s="16" t="s">
        <v>87</v>
      </c>
      <c r="G92" s="16" t="s">
        <v>96</v>
      </c>
      <c r="H92" s="16" t="s">
        <v>123</v>
      </c>
      <c r="I92" s="18" t="n">
        <v>0</v>
      </c>
      <c r="J92" s="10" t="n">
        <f aca="false">IFERROR(I92/B92,0)</f>
        <v>0</v>
      </c>
      <c r="K92" s="9" t="str">
        <f aca="false">IF(B92=0,"N/A",IF(J92&gt;=1,"Achieved",IF(J92&gt;=0.5,"In Progress","Not Started")))</f>
        <v>N/A</v>
      </c>
    </row>
    <row r="93" customFormat="false" ht="15" hidden="false" customHeight="false" outlineLevel="0" collapsed="false">
      <c r="A93" s="15" t="s">
        <v>249</v>
      </c>
      <c r="B93" s="17" t="n">
        <v>0</v>
      </c>
      <c r="C93" s="15"/>
      <c r="D93" s="7" t="s">
        <v>41</v>
      </c>
      <c r="E93" s="16" t="s">
        <v>42</v>
      </c>
      <c r="F93" s="16" t="s">
        <v>87</v>
      </c>
      <c r="G93" s="16" t="s">
        <v>96</v>
      </c>
      <c r="H93" s="16" t="s">
        <v>123</v>
      </c>
      <c r="I93" s="18" t="n">
        <v>0</v>
      </c>
      <c r="J93" s="10" t="n">
        <f aca="false">IFERROR(I93/B93,0)</f>
        <v>0</v>
      </c>
      <c r="K93" s="9" t="str">
        <f aca="false">IF(B93=0,"N/A",IF(J93&gt;=1,"Achieved",IF(J93&gt;=0.5,"In Progress","Not Started")))</f>
        <v>N/A</v>
      </c>
    </row>
    <row r="94" customFormat="false" ht="15" hidden="false" customHeight="false" outlineLevel="0" collapsed="false">
      <c r="A94" s="15" t="s">
        <v>250</v>
      </c>
      <c r="B94" s="17" t="n">
        <v>2</v>
      </c>
      <c r="C94" s="15"/>
      <c r="D94" s="7" t="s">
        <v>41</v>
      </c>
      <c r="E94" s="16" t="s">
        <v>42</v>
      </c>
      <c r="F94" s="16" t="s">
        <v>87</v>
      </c>
      <c r="G94" s="16" t="s">
        <v>96</v>
      </c>
      <c r="H94" s="16" t="s">
        <v>123</v>
      </c>
      <c r="I94" s="18" t="n">
        <v>0</v>
      </c>
      <c r="J94" s="10" t="n">
        <f aca="false">IFERROR(I94/B94,0)</f>
        <v>0</v>
      </c>
      <c r="K94" s="9" t="str">
        <f aca="false">IF(B94=0,"N/A",IF(J94&gt;=1,"Achieved",IF(J94&gt;=0.5,"In Progress","Not Started")))</f>
        <v>Not Started</v>
      </c>
    </row>
    <row r="95" customFormat="false" ht="15" hidden="false" customHeight="false" outlineLevel="0" collapsed="false">
      <c r="A95" s="15" t="s">
        <v>251</v>
      </c>
      <c r="B95" s="17" t="n">
        <v>0</v>
      </c>
      <c r="C95" s="15"/>
      <c r="D95" s="7" t="s">
        <v>41</v>
      </c>
      <c r="E95" s="16" t="s">
        <v>42</v>
      </c>
      <c r="F95" s="16" t="s">
        <v>87</v>
      </c>
      <c r="G95" s="16" t="s">
        <v>96</v>
      </c>
      <c r="H95" s="16" t="s">
        <v>123</v>
      </c>
      <c r="I95" s="18" t="n">
        <v>0</v>
      </c>
      <c r="J95" s="10" t="n">
        <f aca="false">IFERROR(I95/B95,0)</f>
        <v>0</v>
      </c>
      <c r="K95" s="9" t="str">
        <f aca="false">IF(B95=0,"N/A",IF(J95&gt;=1,"Achieved",IF(J95&gt;=0.5,"In Progress","Not Started")))</f>
        <v>N/A</v>
      </c>
    </row>
    <row r="96" customFormat="false" ht="15" hidden="false" customHeight="false" outlineLevel="0" collapsed="false">
      <c r="A96" s="15" t="s">
        <v>252</v>
      </c>
      <c r="B96" s="17" t="n">
        <v>20</v>
      </c>
      <c r="C96" s="15"/>
      <c r="D96" s="7" t="s">
        <v>43</v>
      </c>
      <c r="E96" s="16" t="s">
        <v>44</v>
      </c>
      <c r="F96" s="16" t="s">
        <v>80</v>
      </c>
      <c r="G96" s="16" t="s">
        <v>137</v>
      </c>
      <c r="H96" s="16" t="s">
        <v>138</v>
      </c>
      <c r="I96" s="18" t="n">
        <v>0</v>
      </c>
      <c r="J96" s="10" t="n">
        <f aca="false">IFERROR(I96/B96,0)</f>
        <v>0</v>
      </c>
      <c r="K96" s="9" t="str">
        <f aca="false">IF(B96=0,"N/A",IF(J96&gt;=1,"Achieved",IF(J96&gt;=0.5,"In Progress","Not Started")))</f>
        <v>Not Started</v>
      </c>
    </row>
    <row r="97" customFormat="false" ht="15" hidden="false" customHeight="false" outlineLevel="0" collapsed="false">
      <c r="A97" s="15" t="s">
        <v>253</v>
      </c>
      <c r="B97" s="17" t="n">
        <v>1</v>
      </c>
      <c r="C97" s="15"/>
      <c r="D97" s="7" t="s">
        <v>43</v>
      </c>
      <c r="E97" s="16" t="s">
        <v>44</v>
      </c>
      <c r="F97" s="16" t="s">
        <v>80</v>
      </c>
      <c r="G97" s="16" t="s">
        <v>137</v>
      </c>
      <c r="H97" s="16" t="s">
        <v>138</v>
      </c>
      <c r="I97" s="18" t="n">
        <v>0</v>
      </c>
      <c r="J97" s="10" t="n">
        <f aca="false">IFERROR(I97/B97,0)</f>
        <v>0</v>
      </c>
      <c r="K97" s="9" t="str">
        <f aca="false">IF(B97=0,"N/A",IF(J97&gt;=1,"Achieved",IF(J97&gt;=0.5,"In Progress","Not Started")))</f>
        <v>Not Started</v>
      </c>
    </row>
    <row r="98" customFormat="false" ht="15" hidden="false" customHeight="false" outlineLevel="0" collapsed="false">
      <c r="A98" s="15" t="s">
        <v>254</v>
      </c>
      <c r="B98" s="17" t="n">
        <v>5</v>
      </c>
      <c r="C98" s="15"/>
      <c r="D98" s="7" t="s">
        <v>43</v>
      </c>
      <c r="E98" s="16" t="s">
        <v>44</v>
      </c>
      <c r="F98" s="16" t="s">
        <v>80</v>
      </c>
      <c r="G98" s="16" t="s">
        <v>137</v>
      </c>
      <c r="H98" s="16" t="s">
        <v>138</v>
      </c>
      <c r="I98" s="18" t="n">
        <v>0</v>
      </c>
      <c r="J98" s="10" t="n">
        <f aca="false">IFERROR(I98/B98,0)</f>
        <v>0</v>
      </c>
      <c r="K98" s="9" t="str">
        <f aca="false">IF(B98=0,"N/A",IF(J98&gt;=1,"Achieved",IF(J98&gt;=0.5,"In Progress","Not Started")))</f>
        <v>Not Started</v>
      </c>
    </row>
    <row r="99" customFormat="false" ht="23.85" hidden="false" customHeight="false" outlineLevel="0" collapsed="false">
      <c r="A99" s="15" t="s">
        <v>255</v>
      </c>
      <c r="B99" s="17" t="n">
        <v>10</v>
      </c>
      <c r="C99" s="15"/>
      <c r="D99" s="7" t="s">
        <v>43</v>
      </c>
      <c r="E99" s="16" t="s">
        <v>44</v>
      </c>
      <c r="F99" s="16" t="s">
        <v>80</v>
      </c>
      <c r="G99" s="16" t="s">
        <v>137</v>
      </c>
      <c r="H99" s="16" t="s">
        <v>138</v>
      </c>
      <c r="I99" s="18" t="n">
        <v>0</v>
      </c>
      <c r="J99" s="10" t="n">
        <f aca="false">IFERROR(I99/B99,0)</f>
        <v>0</v>
      </c>
      <c r="K99" s="9" t="str">
        <f aca="false">IF(B99=0,"N/A",IF(J99&gt;=1,"Achieved",IF(J99&gt;=0.5,"In Progress","Not Started")))</f>
        <v>Not Started</v>
      </c>
    </row>
    <row r="100" customFormat="false" ht="15" hidden="false" customHeight="false" outlineLevel="0" collapsed="false">
      <c r="A100" s="15" t="s">
        <v>256</v>
      </c>
      <c r="B100" s="17" t="n">
        <v>0</v>
      </c>
      <c r="C100" s="15"/>
      <c r="D100" s="7" t="s">
        <v>43</v>
      </c>
      <c r="E100" s="16" t="s">
        <v>44</v>
      </c>
      <c r="F100" s="16" t="s">
        <v>80</v>
      </c>
      <c r="G100" s="16" t="s">
        <v>137</v>
      </c>
      <c r="H100" s="16" t="s">
        <v>138</v>
      </c>
      <c r="I100" s="18" t="n">
        <v>0</v>
      </c>
      <c r="J100" s="10" t="n">
        <f aca="false">IFERROR(I100/B100,0)</f>
        <v>0</v>
      </c>
      <c r="K100" s="9" t="str">
        <f aca="false">IF(B100=0,"N/A",IF(J100&gt;=1,"Achieved",IF(J100&gt;=0.5,"In Progress","Not Started")))</f>
        <v>N/A</v>
      </c>
    </row>
    <row r="101" customFormat="false" ht="15" hidden="false" customHeight="false" outlineLevel="0" collapsed="false">
      <c r="A101" s="15" t="s">
        <v>257</v>
      </c>
      <c r="B101" s="17" t="n">
        <v>10</v>
      </c>
      <c r="C101" s="15"/>
      <c r="D101" s="7" t="s">
        <v>47</v>
      </c>
      <c r="E101" s="16" t="s">
        <v>48</v>
      </c>
      <c r="F101" s="16" t="s">
        <v>139</v>
      </c>
      <c r="G101" s="16" t="s">
        <v>96</v>
      </c>
      <c r="H101" s="16" t="s">
        <v>123</v>
      </c>
      <c r="I101" s="18" t="n">
        <v>0</v>
      </c>
      <c r="J101" s="10" t="n">
        <f aca="false">IFERROR(I101/B101,0)</f>
        <v>0</v>
      </c>
      <c r="K101" s="9" t="str">
        <f aca="false">IF(B101=0,"N/A",IF(J101&gt;=1,"Achieved",IF(J101&gt;=0.5,"In Progress","Not Started")))</f>
        <v>Not Started</v>
      </c>
    </row>
    <row r="102" customFormat="false" ht="15" hidden="false" customHeight="false" outlineLevel="0" collapsed="false">
      <c r="A102" s="15" t="s">
        <v>258</v>
      </c>
      <c r="B102" s="17" t="n">
        <v>0</v>
      </c>
      <c r="C102" s="15"/>
      <c r="D102" s="7" t="s">
        <v>47</v>
      </c>
      <c r="E102" s="16" t="s">
        <v>48</v>
      </c>
      <c r="F102" s="16" t="s">
        <v>139</v>
      </c>
      <c r="G102" s="16" t="s">
        <v>96</v>
      </c>
      <c r="H102" s="16" t="s">
        <v>123</v>
      </c>
      <c r="I102" s="18" t="n">
        <v>0</v>
      </c>
      <c r="J102" s="10" t="n">
        <f aca="false">IFERROR(I102/B102,0)</f>
        <v>0</v>
      </c>
      <c r="K102" s="9" t="str">
        <f aca="false">IF(B102=0,"N/A",IF(J102&gt;=1,"Achieved",IF(J102&gt;=0.5,"In Progress","Not Started")))</f>
        <v>N/A</v>
      </c>
    </row>
    <row r="103" customFormat="false" ht="15" hidden="false" customHeight="false" outlineLevel="0" collapsed="false">
      <c r="A103" s="15" t="s">
        <v>259</v>
      </c>
      <c r="B103" s="17" t="n">
        <v>0</v>
      </c>
      <c r="C103" s="15"/>
      <c r="D103" s="7" t="s">
        <v>47</v>
      </c>
      <c r="E103" s="16" t="s">
        <v>48</v>
      </c>
      <c r="F103" s="16" t="s">
        <v>139</v>
      </c>
      <c r="G103" s="16" t="s">
        <v>96</v>
      </c>
      <c r="H103" s="16" t="s">
        <v>123</v>
      </c>
      <c r="I103" s="18" t="n">
        <v>0</v>
      </c>
      <c r="J103" s="10" t="n">
        <f aca="false">IFERROR(I103/B103,0)</f>
        <v>0</v>
      </c>
      <c r="K103" s="9" t="str">
        <f aca="false">IF(B103=0,"N/A",IF(J103&gt;=1,"Achieved",IF(J103&gt;=0.5,"In Progress","Not Started")))</f>
        <v>N/A</v>
      </c>
    </row>
    <row r="104" customFormat="false" ht="15" hidden="false" customHeight="false" outlineLevel="0" collapsed="false">
      <c r="A104" s="15" t="s">
        <v>260</v>
      </c>
      <c r="B104" s="17" t="n">
        <v>10</v>
      </c>
      <c r="C104" s="15"/>
      <c r="D104" s="7" t="s">
        <v>47</v>
      </c>
      <c r="E104" s="16" t="s">
        <v>48</v>
      </c>
      <c r="F104" s="16" t="s">
        <v>139</v>
      </c>
      <c r="G104" s="16" t="s">
        <v>96</v>
      </c>
      <c r="H104" s="16" t="s">
        <v>123</v>
      </c>
      <c r="I104" s="18" t="n">
        <v>0</v>
      </c>
      <c r="J104" s="10" t="n">
        <f aca="false">IFERROR(I104/B104,0)</f>
        <v>0</v>
      </c>
      <c r="K104" s="9" t="str">
        <f aca="false">IF(B104=0,"N/A",IF(J104&gt;=1,"Achieved",IF(J104&gt;=0.5,"In Progress","Not Started")))</f>
        <v>Not Started</v>
      </c>
    </row>
    <row r="105" customFormat="false" ht="15" hidden="false" customHeight="false" outlineLevel="0" collapsed="false">
      <c r="A105" s="15" t="s">
        <v>261</v>
      </c>
      <c r="B105" s="17" t="n">
        <v>10</v>
      </c>
      <c r="C105" s="15"/>
      <c r="D105" s="7" t="s">
        <v>47</v>
      </c>
      <c r="E105" s="16" t="s">
        <v>48</v>
      </c>
      <c r="F105" s="16" t="s">
        <v>139</v>
      </c>
      <c r="G105" s="16" t="s">
        <v>96</v>
      </c>
      <c r="H105" s="16" t="s">
        <v>123</v>
      </c>
      <c r="I105" s="18" t="n">
        <v>0</v>
      </c>
      <c r="J105" s="10" t="n">
        <f aca="false">IFERROR(I105/B105,0)</f>
        <v>0</v>
      </c>
      <c r="K105" s="9" t="str">
        <f aca="false">IF(B105=0,"N/A",IF(J105&gt;=1,"Achieved",IF(J105&gt;=0.5,"In Progress","Not Started")))</f>
        <v>Not Started</v>
      </c>
    </row>
    <row r="106" customFormat="false" ht="15" hidden="false" customHeight="false" outlineLevel="0" collapsed="false">
      <c r="A106" s="15" t="s">
        <v>262</v>
      </c>
      <c r="B106" s="17" t="n">
        <v>1</v>
      </c>
      <c r="C106" s="15"/>
      <c r="D106" s="7" t="s">
        <v>47</v>
      </c>
      <c r="E106" s="16" t="s">
        <v>48</v>
      </c>
      <c r="F106" s="16" t="s">
        <v>139</v>
      </c>
      <c r="G106" s="16" t="s">
        <v>96</v>
      </c>
      <c r="H106" s="16" t="s">
        <v>123</v>
      </c>
      <c r="I106" s="18" t="n">
        <v>0</v>
      </c>
      <c r="J106" s="10" t="n">
        <f aca="false">IFERROR(I106/B106,0)</f>
        <v>0</v>
      </c>
      <c r="K106" s="9" t="str">
        <f aca="false">IF(B106=0,"N/A",IF(J106&gt;=1,"Achieved",IF(J106&gt;=0.5,"In Progress","Not Started")))</f>
        <v>Not Started</v>
      </c>
    </row>
    <row r="107" customFormat="false" ht="15" hidden="false" customHeight="false" outlineLevel="0" collapsed="false">
      <c r="A107" s="15" t="s">
        <v>263</v>
      </c>
      <c r="B107" s="17" t="n">
        <v>0</v>
      </c>
      <c r="C107" s="15"/>
      <c r="D107" s="7" t="s">
        <v>47</v>
      </c>
      <c r="E107" s="16" t="s">
        <v>48</v>
      </c>
      <c r="F107" s="16" t="s">
        <v>139</v>
      </c>
      <c r="G107" s="16" t="s">
        <v>96</v>
      </c>
      <c r="H107" s="16" t="s">
        <v>123</v>
      </c>
      <c r="I107" s="18" t="n">
        <v>0</v>
      </c>
      <c r="J107" s="10" t="n">
        <f aca="false">IFERROR(I107/B107,0)</f>
        <v>0</v>
      </c>
      <c r="K107" s="9" t="str">
        <f aca="false">IF(B107=0,"N/A",IF(J107&gt;=1,"Achieved",IF(J107&gt;=0.5,"In Progress","Not Started")))</f>
        <v>N/A</v>
      </c>
    </row>
    <row r="108" customFormat="false" ht="15" hidden="false" customHeight="false" outlineLevel="0" collapsed="false">
      <c r="A108" s="15" t="s">
        <v>264</v>
      </c>
      <c r="B108" s="17" t="n">
        <v>0</v>
      </c>
      <c r="C108" s="15"/>
      <c r="D108" s="7" t="s">
        <v>41</v>
      </c>
      <c r="E108" s="16" t="s">
        <v>42</v>
      </c>
      <c r="F108" s="16" t="s">
        <v>87</v>
      </c>
      <c r="G108" s="16" t="s">
        <v>96</v>
      </c>
      <c r="H108" s="16" t="s">
        <v>123</v>
      </c>
      <c r="I108" s="18" t="n">
        <v>0</v>
      </c>
      <c r="J108" s="10" t="n">
        <f aca="false">IFERROR(I108/B108,0)</f>
        <v>0</v>
      </c>
      <c r="K108" s="9" t="str">
        <f aca="false">IF(B108=0,"N/A",IF(J108&gt;=1,"Achieved",IF(J108&gt;=0.5,"In Progress","Not Started")))</f>
        <v>N/A</v>
      </c>
    </row>
    <row r="109" customFormat="false" ht="15" hidden="false" customHeight="false" outlineLevel="0" collapsed="false">
      <c r="A109" s="15" t="s">
        <v>265</v>
      </c>
      <c r="B109" s="17" t="n">
        <v>0</v>
      </c>
      <c r="C109" s="15"/>
      <c r="D109" s="7" t="s">
        <v>33</v>
      </c>
      <c r="E109" s="16" t="s">
        <v>34</v>
      </c>
      <c r="F109" s="16" t="s">
        <v>87</v>
      </c>
      <c r="G109" s="16" t="s">
        <v>135</v>
      </c>
      <c r="H109" s="16" t="s">
        <v>123</v>
      </c>
      <c r="I109" s="18" t="n">
        <v>0</v>
      </c>
      <c r="J109" s="10" t="n">
        <f aca="false">IFERROR(I109/B109,0)</f>
        <v>0</v>
      </c>
      <c r="K109" s="9" t="str">
        <f aca="false">IF(B109=0,"N/A",IF(J109&gt;=1,"Achieved",IF(J109&gt;=0.5,"In Progress","Not Started")))</f>
        <v>N/A</v>
      </c>
    </row>
    <row r="110" customFormat="false" ht="23.85" hidden="false" customHeight="false" outlineLevel="0" collapsed="false">
      <c r="A110" s="15" t="s">
        <v>266</v>
      </c>
      <c r="B110" s="17" t="n">
        <v>40</v>
      </c>
      <c r="C110" s="15"/>
      <c r="D110" s="7" t="s">
        <v>45</v>
      </c>
      <c r="E110" s="16" t="s">
        <v>46</v>
      </c>
      <c r="F110" s="16" t="s">
        <v>87</v>
      </c>
      <c r="G110" s="16" t="s">
        <v>96</v>
      </c>
      <c r="H110" s="16" t="s">
        <v>123</v>
      </c>
      <c r="I110" s="18" t="n">
        <v>0</v>
      </c>
      <c r="J110" s="10" t="n">
        <f aca="false">IFERROR(I110/B110,0)</f>
        <v>0</v>
      </c>
      <c r="K110" s="9" t="str">
        <f aca="false">IF(B110=0,"N/A",IF(J110&gt;=1,"Achieved",IF(J110&gt;=0.5,"In Progress","Not Started")))</f>
        <v>Not Started</v>
      </c>
    </row>
    <row r="111" customFormat="false" ht="15" hidden="false" customHeight="false" outlineLevel="0" collapsed="false">
      <c r="A111" s="15" t="s">
        <v>267</v>
      </c>
      <c r="B111" s="17" t="n">
        <v>0</v>
      </c>
      <c r="C111" s="15"/>
      <c r="D111" s="7" t="s">
        <v>45</v>
      </c>
      <c r="E111" s="16" t="s">
        <v>46</v>
      </c>
      <c r="F111" s="16" t="s">
        <v>87</v>
      </c>
      <c r="G111" s="16" t="s">
        <v>96</v>
      </c>
      <c r="H111" s="16" t="s">
        <v>123</v>
      </c>
      <c r="I111" s="18" t="n">
        <v>0</v>
      </c>
      <c r="J111" s="10" t="n">
        <f aca="false">IFERROR(I111/B111,0)</f>
        <v>0</v>
      </c>
      <c r="K111" s="9" t="str">
        <f aca="false">IF(B111=0,"N/A",IF(J111&gt;=1,"Achieved",IF(J111&gt;=0.5,"In Progress","Not Started")))</f>
        <v>N/A</v>
      </c>
    </row>
    <row r="112" customFormat="false" ht="15" hidden="false" customHeight="false" outlineLevel="0" collapsed="false">
      <c r="A112" s="15" t="s">
        <v>268</v>
      </c>
      <c r="B112" s="17" t="n">
        <v>0</v>
      </c>
      <c r="C112" s="15"/>
      <c r="D112" s="7" t="s">
        <v>45</v>
      </c>
      <c r="E112" s="16" t="s">
        <v>46</v>
      </c>
      <c r="F112" s="16" t="s">
        <v>87</v>
      </c>
      <c r="G112" s="16" t="s">
        <v>96</v>
      </c>
      <c r="H112" s="16" t="s">
        <v>123</v>
      </c>
      <c r="I112" s="18" t="n">
        <v>0</v>
      </c>
      <c r="J112" s="10" t="n">
        <f aca="false">IFERROR(I112/B112,0)</f>
        <v>0</v>
      </c>
      <c r="K112" s="9" t="str">
        <f aca="false">IF(B112=0,"N/A",IF(J112&gt;=1,"Achieved",IF(J112&gt;=0.5,"In Progress","Not Started")))</f>
        <v>N/A</v>
      </c>
    </row>
    <row r="113" customFormat="false" ht="15" hidden="false" customHeight="false" outlineLevel="0" collapsed="false">
      <c r="A113" s="15" t="s">
        <v>269</v>
      </c>
      <c r="B113" s="17" t="n">
        <v>1</v>
      </c>
      <c r="C113" s="15"/>
      <c r="D113" s="7" t="s">
        <v>45</v>
      </c>
      <c r="E113" s="16" t="s">
        <v>46</v>
      </c>
      <c r="F113" s="16" t="s">
        <v>87</v>
      </c>
      <c r="G113" s="16" t="s">
        <v>96</v>
      </c>
      <c r="H113" s="16" t="s">
        <v>123</v>
      </c>
      <c r="I113" s="18" t="n">
        <v>0</v>
      </c>
      <c r="J113" s="10" t="n">
        <f aca="false">IFERROR(I113/B113,0)</f>
        <v>0</v>
      </c>
      <c r="K113" s="9" t="str">
        <f aca="false">IF(B113=0,"N/A",IF(J113&gt;=1,"Achieved",IF(J113&gt;=0.5,"In Progress","Not Started")))</f>
        <v>Not Started</v>
      </c>
    </row>
    <row r="114" customFormat="false" ht="15" hidden="false" customHeight="false" outlineLevel="0" collapsed="false">
      <c r="A114" s="15" t="s">
        <v>270</v>
      </c>
      <c r="B114" s="17" t="n">
        <v>0</v>
      </c>
      <c r="C114" s="15"/>
      <c r="D114" s="7" t="s">
        <v>45</v>
      </c>
      <c r="E114" s="16" t="s">
        <v>46</v>
      </c>
      <c r="F114" s="16" t="s">
        <v>87</v>
      </c>
      <c r="G114" s="16" t="s">
        <v>96</v>
      </c>
      <c r="H114" s="16" t="s">
        <v>123</v>
      </c>
      <c r="I114" s="18" t="n">
        <v>0</v>
      </c>
      <c r="J114" s="10" t="n">
        <f aca="false">IFERROR(I114/B114,0)</f>
        <v>0</v>
      </c>
      <c r="K114" s="9" t="str">
        <f aca="false">IF(B114=0,"N/A",IF(J114&gt;=1,"Achieved",IF(J114&gt;=0.5,"In Progress","Not Started")))</f>
        <v>N/A</v>
      </c>
    </row>
    <row r="115" customFormat="false" ht="15" hidden="false" customHeight="false" outlineLevel="0" collapsed="false">
      <c r="A115" s="15" t="s">
        <v>271</v>
      </c>
      <c r="B115" s="17" t="n">
        <v>0</v>
      </c>
      <c r="C115" s="15"/>
      <c r="D115" s="7" t="s">
        <v>43</v>
      </c>
      <c r="E115" s="16" t="s">
        <v>44</v>
      </c>
      <c r="F115" s="16" t="s">
        <v>80</v>
      </c>
      <c r="G115" s="16" t="s">
        <v>137</v>
      </c>
      <c r="H115" s="16" t="s">
        <v>138</v>
      </c>
      <c r="I115" s="18" t="n">
        <v>0</v>
      </c>
      <c r="J115" s="10" t="n">
        <f aca="false">IFERROR(I115/B115,0)</f>
        <v>0</v>
      </c>
      <c r="K115" s="9" t="str">
        <f aca="false">IF(B115=0,"N/A",IF(J115&gt;=1,"Achieved",IF(J115&gt;=0.5,"In Progress","Not Started")))</f>
        <v>N/A</v>
      </c>
    </row>
    <row r="116" customFormat="false" ht="15" hidden="false" customHeight="false" outlineLevel="0" collapsed="false">
      <c r="A116" s="15" t="s">
        <v>272</v>
      </c>
      <c r="B116" s="17" t="n">
        <v>8</v>
      </c>
      <c r="C116" s="15"/>
      <c r="D116" s="7" t="s">
        <v>53</v>
      </c>
      <c r="E116" s="16" t="s">
        <v>54</v>
      </c>
      <c r="F116" s="16" t="s">
        <v>80</v>
      </c>
      <c r="G116" s="16" t="s">
        <v>140</v>
      </c>
      <c r="H116" s="16" t="s">
        <v>141</v>
      </c>
      <c r="I116" s="18" t="n">
        <v>0</v>
      </c>
      <c r="J116" s="10" t="n">
        <f aca="false">IFERROR(I116/B116,0)</f>
        <v>0</v>
      </c>
      <c r="K116" s="9" t="str">
        <f aca="false">IF(B116=0,"N/A",IF(J116&gt;=1,"Achieved",IF(J116&gt;=0.5,"In Progress","Not Started")))</f>
        <v>Not Started</v>
      </c>
    </row>
    <row r="117" customFormat="false" ht="15" hidden="false" customHeight="false" outlineLevel="0" collapsed="false">
      <c r="A117" s="15" t="s">
        <v>273</v>
      </c>
      <c r="B117" s="17" t="n">
        <v>7</v>
      </c>
      <c r="C117" s="15"/>
      <c r="D117" s="7" t="s">
        <v>53</v>
      </c>
      <c r="E117" s="16" t="s">
        <v>54</v>
      </c>
      <c r="F117" s="16" t="s">
        <v>80</v>
      </c>
      <c r="G117" s="16" t="s">
        <v>140</v>
      </c>
      <c r="H117" s="16" t="s">
        <v>141</v>
      </c>
      <c r="I117" s="18" t="n">
        <v>0</v>
      </c>
      <c r="J117" s="10" t="n">
        <f aca="false">IFERROR(I117/B117,0)</f>
        <v>0</v>
      </c>
      <c r="K117" s="9" t="str">
        <f aca="false">IF(B117=0,"N/A",IF(J117&gt;=1,"Achieved",IF(J117&gt;=0.5,"In Progress","Not Started")))</f>
        <v>Not Started</v>
      </c>
    </row>
    <row r="118" customFormat="false" ht="15" hidden="false" customHeight="false" outlineLevel="0" collapsed="false">
      <c r="A118" s="15" t="s">
        <v>274</v>
      </c>
      <c r="B118" s="17" t="n">
        <v>0</v>
      </c>
      <c r="C118" s="15"/>
      <c r="D118" s="7" t="s">
        <v>41</v>
      </c>
      <c r="E118" s="16" t="s">
        <v>42</v>
      </c>
      <c r="F118" s="16" t="s">
        <v>87</v>
      </c>
      <c r="G118" s="16" t="s">
        <v>96</v>
      </c>
      <c r="H118" s="16" t="s">
        <v>123</v>
      </c>
      <c r="I118" s="18" t="n">
        <v>0</v>
      </c>
      <c r="J118" s="10" t="n">
        <f aca="false">IFERROR(I118/B118,0)</f>
        <v>0</v>
      </c>
      <c r="K118" s="9" t="str">
        <f aca="false">IF(B118=0,"N/A",IF(J118&gt;=1,"Achieved",IF(J118&gt;=0.5,"In Progress","Not Started")))</f>
        <v>N/A</v>
      </c>
    </row>
    <row r="119" customFormat="false" ht="15" hidden="false" customHeight="false" outlineLevel="0" collapsed="false">
      <c r="A119" s="15" t="s">
        <v>275</v>
      </c>
      <c r="B119" s="17" t="n">
        <v>40</v>
      </c>
      <c r="C119" s="15"/>
      <c r="D119" s="7" t="s">
        <v>53</v>
      </c>
      <c r="E119" s="16" t="s">
        <v>54</v>
      </c>
      <c r="F119" s="16" t="s">
        <v>80</v>
      </c>
      <c r="G119" s="16" t="s">
        <v>140</v>
      </c>
      <c r="H119" s="16" t="s">
        <v>141</v>
      </c>
      <c r="I119" s="18" t="n">
        <v>0</v>
      </c>
      <c r="J119" s="10" t="n">
        <f aca="false">IFERROR(I119/B119,0)</f>
        <v>0</v>
      </c>
      <c r="K119" s="9" t="str">
        <f aca="false">IF(B119=0,"N/A",IF(J119&gt;=1,"Achieved",IF(J119&gt;=0.5,"In Progress","Not Started")))</f>
        <v>Not Started</v>
      </c>
    </row>
    <row r="120" customFormat="false" ht="15" hidden="false" customHeight="false" outlineLevel="0" collapsed="false">
      <c r="A120" s="15" t="s">
        <v>276</v>
      </c>
      <c r="B120" s="17" t="n">
        <v>0</v>
      </c>
      <c r="C120" s="15"/>
      <c r="D120" s="7" t="s">
        <v>53</v>
      </c>
      <c r="E120" s="16" t="s">
        <v>54</v>
      </c>
      <c r="F120" s="16" t="s">
        <v>80</v>
      </c>
      <c r="G120" s="16" t="s">
        <v>140</v>
      </c>
      <c r="H120" s="16" t="s">
        <v>141</v>
      </c>
      <c r="I120" s="18" t="n">
        <v>0</v>
      </c>
      <c r="J120" s="10" t="n">
        <f aca="false">IFERROR(I120/B120,0)</f>
        <v>0</v>
      </c>
      <c r="K120" s="9" t="str">
        <f aca="false">IF(B120=0,"N/A",IF(J120&gt;=1,"Achieved",IF(J120&gt;=0.5,"In Progress","Not Started")))</f>
        <v>N/A</v>
      </c>
    </row>
    <row r="121" customFormat="false" ht="15" hidden="false" customHeight="false" outlineLevel="0" collapsed="false">
      <c r="A121" s="15" t="s">
        <v>277</v>
      </c>
      <c r="B121" s="17" t="n">
        <v>5</v>
      </c>
      <c r="C121" s="15"/>
      <c r="D121" s="7" t="s">
        <v>31</v>
      </c>
      <c r="E121" s="16" t="s">
        <v>32</v>
      </c>
      <c r="F121" s="16" t="s">
        <v>87</v>
      </c>
      <c r="G121" s="16" t="s">
        <v>92</v>
      </c>
      <c r="H121" s="16" t="s">
        <v>123</v>
      </c>
      <c r="I121" s="18" t="n">
        <v>0</v>
      </c>
      <c r="J121" s="10" t="n">
        <f aca="false">IFERROR(I121/B121,0)</f>
        <v>0</v>
      </c>
      <c r="K121" s="9" t="str">
        <f aca="false">IF(B121=0,"N/A",IF(J121&gt;=1,"Achieved",IF(J121&gt;=0.5,"In Progress","Not Started")))</f>
        <v>Not Started</v>
      </c>
    </row>
    <row r="122" customFormat="false" ht="15" hidden="false" customHeight="false" outlineLevel="0" collapsed="false">
      <c r="A122" s="15" t="s">
        <v>278</v>
      </c>
      <c r="B122" s="17" t="n">
        <v>0</v>
      </c>
      <c r="C122" s="15"/>
      <c r="D122" s="7" t="s">
        <v>41</v>
      </c>
      <c r="E122" s="16" t="s">
        <v>42</v>
      </c>
      <c r="F122" s="16" t="s">
        <v>87</v>
      </c>
      <c r="G122" s="16" t="s">
        <v>96</v>
      </c>
      <c r="H122" s="16" t="s">
        <v>123</v>
      </c>
      <c r="I122" s="18" t="n">
        <v>0</v>
      </c>
      <c r="J122" s="10" t="n">
        <f aca="false">IFERROR(I122/B122,0)</f>
        <v>0</v>
      </c>
      <c r="K122" s="9" t="str">
        <f aca="false">IF(B122=0,"N/A",IF(J122&gt;=1,"Achieved",IF(J122&gt;=0.5,"In Progress","Not Started")))</f>
        <v>N/A</v>
      </c>
    </row>
    <row r="123" customFormat="false" ht="15" hidden="false" customHeight="false" outlineLevel="0" collapsed="false">
      <c r="A123" s="15" t="s">
        <v>279</v>
      </c>
      <c r="B123" s="17" t="n">
        <v>15</v>
      </c>
      <c r="C123" s="15"/>
      <c r="D123" s="7" t="s">
        <v>45</v>
      </c>
      <c r="E123" s="16" t="s">
        <v>46</v>
      </c>
      <c r="F123" s="16" t="s">
        <v>87</v>
      </c>
      <c r="G123" s="16" t="s">
        <v>96</v>
      </c>
      <c r="H123" s="16" t="s">
        <v>123</v>
      </c>
      <c r="I123" s="18" t="n">
        <v>0</v>
      </c>
      <c r="J123" s="10" t="n">
        <f aca="false">IFERROR(I123/B123,0)</f>
        <v>0</v>
      </c>
      <c r="K123" s="9" t="str">
        <f aca="false">IF(B123=0,"N/A",IF(J123&gt;=1,"Achieved",IF(J123&gt;=0.5,"In Progress","Not Started")))</f>
        <v>Not Started</v>
      </c>
    </row>
    <row r="124" customFormat="false" ht="15" hidden="false" customHeight="false" outlineLevel="0" collapsed="false">
      <c r="A124" s="15" t="s">
        <v>280</v>
      </c>
      <c r="B124" s="17" t="n">
        <v>40</v>
      </c>
      <c r="C124" s="15"/>
      <c r="D124" s="7" t="s">
        <v>53</v>
      </c>
      <c r="E124" s="16" t="s">
        <v>54</v>
      </c>
      <c r="F124" s="16" t="s">
        <v>80</v>
      </c>
      <c r="G124" s="16" t="s">
        <v>140</v>
      </c>
      <c r="H124" s="16" t="s">
        <v>141</v>
      </c>
      <c r="I124" s="18" t="n">
        <v>0</v>
      </c>
      <c r="J124" s="10" t="n">
        <f aca="false">IFERROR(I124/B124,0)</f>
        <v>0</v>
      </c>
      <c r="K124" s="9" t="str">
        <f aca="false">IF(B124=0,"N/A",IF(J124&gt;=1,"Achieved",IF(J124&gt;=0.5,"In Progress","Not Started")))</f>
        <v>Not Started</v>
      </c>
    </row>
    <row r="125" customFormat="false" ht="15" hidden="false" customHeight="false" outlineLevel="0" collapsed="false">
      <c r="A125" s="15" t="s">
        <v>281</v>
      </c>
      <c r="B125" s="17" t="n">
        <v>5</v>
      </c>
      <c r="C125" s="15"/>
      <c r="D125" s="7" t="s">
        <v>31</v>
      </c>
      <c r="E125" s="16" t="s">
        <v>32</v>
      </c>
      <c r="F125" s="16" t="s">
        <v>87</v>
      </c>
      <c r="G125" s="16" t="s">
        <v>92</v>
      </c>
      <c r="H125" s="16" t="s">
        <v>123</v>
      </c>
      <c r="I125" s="18" t="n">
        <v>0</v>
      </c>
      <c r="J125" s="10" t="n">
        <f aca="false">IFERROR(I125/B125,0)</f>
        <v>0</v>
      </c>
      <c r="K125" s="9" t="str">
        <f aca="false">IF(B125=0,"N/A",IF(J125&gt;=1,"Achieved",IF(J125&gt;=0.5,"In Progress","Not Started")))</f>
        <v>Not Started</v>
      </c>
    </row>
    <row r="126" customFormat="false" ht="15" hidden="false" customHeight="false" outlineLevel="0" collapsed="false">
      <c r="A126" s="15" t="s">
        <v>282</v>
      </c>
      <c r="B126" s="17" t="n">
        <v>5</v>
      </c>
      <c r="C126" s="15"/>
      <c r="D126" s="7" t="s">
        <v>55</v>
      </c>
      <c r="E126" s="16" t="s">
        <v>56</v>
      </c>
      <c r="F126" s="16" t="s">
        <v>80</v>
      </c>
      <c r="G126" s="16" t="s">
        <v>142</v>
      </c>
      <c r="H126" s="16" t="s">
        <v>143</v>
      </c>
      <c r="I126" s="18" t="n">
        <v>0</v>
      </c>
      <c r="J126" s="10" t="n">
        <f aca="false">IFERROR(I126/B126,0)</f>
        <v>0</v>
      </c>
      <c r="K126" s="9" t="str">
        <f aca="false">IF(B126=0,"N/A",IF(J126&gt;=1,"Achieved",IF(J126&gt;=0.5,"In Progress","Not Started")))</f>
        <v>Not Started</v>
      </c>
    </row>
    <row r="127" customFormat="false" ht="15" hidden="false" customHeight="false" outlineLevel="0" collapsed="false">
      <c r="A127" s="15" t="s">
        <v>283</v>
      </c>
      <c r="B127" s="17" t="n">
        <v>10</v>
      </c>
      <c r="C127" s="15"/>
      <c r="D127" s="7" t="s">
        <v>55</v>
      </c>
      <c r="E127" s="16" t="s">
        <v>56</v>
      </c>
      <c r="F127" s="16" t="s">
        <v>80</v>
      </c>
      <c r="G127" s="16" t="s">
        <v>142</v>
      </c>
      <c r="H127" s="16" t="s">
        <v>143</v>
      </c>
      <c r="I127" s="18" t="n">
        <v>0</v>
      </c>
      <c r="J127" s="10" t="n">
        <f aca="false">IFERROR(I127/B127,0)</f>
        <v>0</v>
      </c>
      <c r="K127" s="9" t="str">
        <f aca="false">IF(B127=0,"N/A",IF(J127&gt;=1,"Achieved",IF(J127&gt;=0.5,"In Progress","Not Started")))</f>
        <v>Not Started</v>
      </c>
    </row>
    <row r="128" customFormat="false" ht="23.85" hidden="false" customHeight="false" outlineLevel="0" collapsed="false">
      <c r="A128" s="15" t="s">
        <v>284</v>
      </c>
      <c r="B128" s="17" t="n">
        <v>90</v>
      </c>
      <c r="C128" s="15"/>
      <c r="D128" s="7" t="s">
        <v>51</v>
      </c>
      <c r="E128" s="16" t="s">
        <v>52</v>
      </c>
      <c r="F128" s="16" t="s">
        <v>139</v>
      </c>
      <c r="G128" s="16" t="s">
        <v>133</v>
      </c>
      <c r="H128" s="16" t="s">
        <v>134</v>
      </c>
      <c r="I128" s="18" t="n">
        <v>0</v>
      </c>
      <c r="J128" s="10" t="n">
        <f aca="false">IFERROR(I128/B128,0)</f>
        <v>0</v>
      </c>
      <c r="K128" s="9" t="str">
        <f aca="false">IF(B128=0,"N/A",IF(J128&gt;=1,"Achieved",IF(J128&gt;=0.5,"In Progress","Not Started")))</f>
        <v>Not Started</v>
      </c>
    </row>
    <row r="129" customFormat="false" ht="23.85" hidden="false" customHeight="false" outlineLevel="0" collapsed="false">
      <c r="A129" s="15" t="s">
        <v>285</v>
      </c>
      <c r="B129" s="17" t="n">
        <v>45</v>
      </c>
      <c r="C129" s="15"/>
      <c r="D129" s="7" t="s">
        <v>51</v>
      </c>
      <c r="E129" s="16" t="s">
        <v>52</v>
      </c>
      <c r="F129" s="16" t="s">
        <v>139</v>
      </c>
      <c r="G129" s="16" t="s">
        <v>133</v>
      </c>
      <c r="H129" s="16" t="s">
        <v>134</v>
      </c>
      <c r="I129" s="18" t="n">
        <v>0</v>
      </c>
      <c r="J129" s="10" t="n">
        <f aca="false">IFERROR(I129/B129,0)</f>
        <v>0</v>
      </c>
      <c r="K129" s="9" t="str">
        <f aca="false">IF(B129=0,"N/A",IF(J129&gt;=1,"Achieved",IF(J129&gt;=0.5,"In Progress","Not Started")))</f>
        <v>Not Started</v>
      </c>
    </row>
    <row r="130" customFormat="false" ht="23.85" hidden="false" customHeight="false" outlineLevel="0" collapsed="false">
      <c r="A130" s="15" t="s">
        <v>286</v>
      </c>
      <c r="B130" s="17" t="n">
        <v>50</v>
      </c>
      <c r="C130" s="15"/>
      <c r="D130" s="7" t="s">
        <v>51</v>
      </c>
      <c r="E130" s="16" t="s">
        <v>52</v>
      </c>
      <c r="F130" s="16" t="s">
        <v>139</v>
      </c>
      <c r="G130" s="16" t="s">
        <v>133</v>
      </c>
      <c r="H130" s="16" t="s">
        <v>134</v>
      </c>
      <c r="I130" s="18" t="n">
        <v>0</v>
      </c>
      <c r="J130" s="10" t="n">
        <f aca="false">IFERROR(I130/B130,0)</f>
        <v>0</v>
      </c>
      <c r="K130" s="9" t="str">
        <f aca="false">IF(B130=0,"N/A",IF(J130&gt;=1,"Achieved",IF(J130&gt;=0.5,"In Progress","Not Started")))</f>
        <v>Not Started</v>
      </c>
    </row>
    <row r="131" customFormat="false" ht="23.85" hidden="false" customHeight="false" outlineLevel="0" collapsed="false">
      <c r="A131" s="15" t="s">
        <v>287</v>
      </c>
      <c r="B131" s="17" t="n">
        <v>20</v>
      </c>
      <c r="C131" s="15"/>
      <c r="D131" s="7" t="s">
        <v>51</v>
      </c>
      <c r="E131" s="16" t="s">
        <v>52</v>
      </c>
      <c r="F131" s="16" t="s">
        <v>139</v>
      </c>
      <c r="G131" s="16" t="s">
        <v>133</v>
      </c>
      <c r="H131" s="16" t="s">
        <v>134</v>
      </c>
      <c r="I131" s="18" t="n">
        <v>0</v>
      </c>
      <c r="J131" s="10" t="n">
        <f aca="false">IFERROR(I131/B131,0)</f>
        <v>0</v>
      </c>
      <c r="K131" s="9" t="str">
        <f aca="false">IF(B131=0,"N/A",IF(J131&gt;=1,"Achieved",IF(J131&gt;=0.5,"In Progress","Not Started")))</f>
        <v>Not Started</v>
      </c>
    </row>
    <row r="132" customFormat="false" ht="23.85" hidden="false" customHeight="false" outlineLevel="0" collapsed="false">
      <c r="A132" s="15" t="s">
        <v>288</v>
      </c>
      <c r="B132" s="17" t="n">
        <v>45</v>
      </c>
      <c r="C132" s="15"/>
      <c r="D132" s="7" t="s">
        <v>51</v>
      </c>
      <c r="E132" s="16" t="s">
        <v>52</v>
      </c>
      <c r="F132" s="16" t="s">
        <v>139</v>
      </c>
      <c r="G132" s="16" t="s">
        <v>133</v>
      </c>
      <c r="H132" s="16" t="s">
        <v>134</v>
      </c>
      <c r="I132" s="18" t="n">
        <v>0</v>
      </c>
      <c r="J132" s="10" t="n">
        <f aca="false">IFERROR(I132/B132,0)</f>
        <v>0</v>
      </c>
      <c r="K132" s="9" t="str">
        <f aca="false">IF(B132=0,"N/A",IF(J132&gt;=1,"Achieved",IF(J132&gt;=0.5,"In Progress","Not Started")))</f>
        <v>Not Started</v>
      </c>
    </row>
    <row r="133" customFormat="false" ht="23.85" hidden="false" customHeight="false" outlineLevel="0" collapsed="false">
      <c r="A133" s="15" t="s">
        <v>289</v>
      </c>
      <c r="B133" s="17" t="n">
        <v>50</v>
      </c>
      <c r="C133" s="15"/>
      <c r="D133" s="7" t="s">
        <v>51</v>
      </c>
      <c r="E133" s="16" t="s">
        <v>52</v>
      </c>
      <c r="F133" s="16" t="s">
        <v>139</v>
      </c>
      <c r="G133" s="16" t="s">
        <v>133</v>
      </c>
      <c r="H133" s="16" t="s">
        <v>134</v>
      </c>
      <c r="I133" s="18" t="n">
        <v>0</v>
      </c>
      <c r="J133" s="10" t="n">
        <f aca="false">IFERROR(I133/B133,0)</f>
        <v>0</v>
      </c>
      <c r="K133" s="9" t="str">
        <f aca="false">IF(B133=0,"N/A",IF(J133&gt;=1,"Achieved",IF(J133&gt;=0.5,"In Progress","Not Started")))</f>
        <v>Not Started</v>
      </c>
    </row>
    <row r="134" customFormat="false" ht="15" hidden="false" customHeight="false" outlineLevel="0" collapsed="false">
      <c r="A134" s="15" t="s">
        <v>290</v>
      </c>
      <c r="B134" s="17" t="n">
        <v>5</v>
      </c>
      <c r="C134" s="15"/>
      <c r="D134" s="7" t="s">
        <v>51</v>
      </c>
      <c r="E134" s="16" t="s">
        <v>52</v>
      </c>
      <c r="F134" s="16" t="s">
        <v>139</v>
      </c>
      <c r="G134" s="16" t="s">
        <v>133</v>
      </c>
      <c r="H134" s="16" t="s">
        <v>134</v>
      </c>
      <c r="I134" s="18" t="n">
        <v>0</v>
      </c>
      <c r="J134" s="10" t="n">
        <f aca="false">IFERROR(I134/B134,0)</f>
        <v>0</v>
      </c>
      <c r="K134" s="9" t="str">
        <f aca="false">IF(B134=0,"N/A",IF(J134&gt;=1,"Achieved",IF(J134&gt;=0.5,"In Progress","Not Started")))</f>
        <v>Not Started</v>
      </c>
    </row>
    <row r="135" customFormat="false" ht="15" hidden="false" customHeight="false" outlineLevel="0" collapsed="false">
      <c r="A135" s="15" t="s">
        <v>291</v>
      </c>
      <c r="B135" s="17" t="n">
        <v>5</v>
      </c>
      <c r="C135" s="15"/>
      <c r="D135" s="7" t="s">
        <v>51</v>
      </c>
      <c r="E135" s="16" t="s">
        <v>52</v>
      </c>
      <c r="F135" s="16" t="s">
        <v>139</v>
      </c>
      <c r="G135" s="16" t="s">
        <v>133</v>
      </c>
      <c r="H135" s="16" t="s">
        <v>134</v>
      </c>
      <c r="I135" s="18" t="n">
        <v>0</v>
      </c>
      <c r="J135" s="10" t="n">
        <f aca="false">IFERROR(I135/B135,0)</f>
        <v>0</v>
      </c>
      <c r="K135" s="9" t="str">
        <f aca="false">IF(B135=0,"N/A",IF(J135&gt;=1,"Achieved",IF(J135&gt;=0.5,"In Progress","Not Started")))</f>
        <v>Not Started</v>
      </c>
    </row>
    <row r="136" customFormat="false" ht="15" hidden="false" customHeight="false" outlineLevel="0" collapsed="false">
      <c r="A136" s="15" t="s">
        <v>292</v>
      </c>
      <c r="B136" s="17" t="n">
        <v>25</v>
      </c>
      <c r="C136" s="15"/>
      <c r="D136" s="7" t="s">
        <v>51</v>
      </c>
      <c r="E136" s="16" t="s">
        <v>52</v>
      </c>
      <c r="F136" s="16" t="s">
        <v>139</v>
      </c>
      <c r="G136" s="16" t="s">
        <v>133</v>
      </c>
      <c r="H136" s="16" t="s">
        <v>134</v>
      </c>
      <c r="I136" s="18" t="n">
        <v>0</v>
      </c>
      <c r="J136" s="10" t="n">
        <f aca="false">IFERROR(I136/B136,0)</f>
        <v>0</v>
      </c>
      <c r="K136" s="9" t="str">
        <f aca="false">IF(B136=0,"N/A",IF(J136&gt;=1,"Achieved",IF(J136&gt;=0.5,"In Progress","Not Started")))</f>
        <v>Not Started</v>
      </c>
    </row>
    <row r="137" customFormat="false" ht="15" hidden="false" customHeight="false" outlineLevel="0" collapsed="false">
      <c r="A137" s="15" t="s">
        <v>293</v>
      </c>
      <c r="B137" s="17" t="n">
        <v>0</v>
      </c>
      <c r="C137" s="15"/>
      <c r="D137" s="7" t="s">
        <v>41</v>
      </c>
      <c r="E137" s="16" t="s">
        <v>42</v>
      </c>
      <c r="F137" s="16" t="s">
        <v>87</v>
      </c>
      <c r="G137" s="16" t="s">
        <v>96</v>
      </c>
      <c r="H137" s="16" t="s">
        <v>123</v>
      </c>
      <c r="I137" s="18" t="n">
        <v>0</v>
      </c>
      <c r="J137" s="10" t="n">
        <f aca="false">IFERROR(I137/B137,0)</f>
        <v>0</v>
      </c>
      <c r="K137" s="9" t="str">
        <f aca="false">IF(B137=0,"N/A",IF(J137&gt;=1,"Achieved",IF(J137&gt;=0.5,"In Progress","Not Started")))</f>
        <v>N/A</v>
      </c>
    </row>
    <row r="138" customFormat="false" ht="15" hidden="false" customHeight="false" outlineLevel="0" collapsed="false">
      <c r="A138" s="15" t="s">
        <v>294</v>
      </c>
      <c r="B138" s="17" t="n">
        <v>0</v>
      </c>
      <c r="C138" s="15"/>
      <c r="D138" s="7" t="s">
        <v>41</v>
      </c>
      <c r="E138" s="16" t="s">
        <v>42</v>
      </c>
      <c r="F138" s="16" t="s">
        <v>87</v>
      </c>
      <c r="G138" s="16" t="s">
        <v>96</v>
      </c>
      <c r="H138" s="16" t="s">
        <v>123</v>
      </c>
      <c r="I138" s="18" t="n">
        <v>0</v>
      </c>
      <c r="J138" s="10" t="n">
        <f aca="false">IFERROR(I138/B138,0)</f>
        <v>0</v>
      </c>
      <c r="K138" s="9" t="str">
        <f aca="false">IF(B138=0,"N/A",IF(J138&gt;=1,"Achieved",IF(J138&gt;=0.5,"In Progress","Not Started")))</f>
        <v>N/A</v>
      </c>
    </row>
    <row r="139" customFormat="false" ht="15" hidden="false" customHeight="false" outlineLevel="0" collapsed="false">
      <c r="A139" s="15" t="s">
        <v>295</v>
      </c>
      <c r="B139" s="17" t="n">
        <v>15</v>
      </c>
      <c r="C139" s="15"/>
      <c r="D139" s="7" t="s">
        <v>29</v>
      </c>
      <c r="E139" s="16" t="s">
        <v>30</v>
      </c>
      <c r="F139" s="16" t="s">
        <v>87</v>
      </c>
      <c r="G139" s="16" t="s">
        <v>133</v>
      </c>
      <c r="H139" s="16" t="s">
        <v>134</v>
      </c>
      <c r="I139" s="18" t="n">
        <v>0</v>
      </c>
      <c r="J139" s="10" t="n">
        <f aca="false">IFERROR(I139/B139,0)</f>
        <v>0</v>
      </c>
      <c r="K139" s="9" t="str">
        <f aca="false">IF(B139=0,"N/A",IF(J139&gt;=1,"Achieved",IF(J139&gt;=0.5,"In Progress","Not Started")))</f>
        <v>Not Started</v>
      </c>
    </row>
    <row r="140" customFormat="false" ht="23.85" hidden="false" customHeight="false" outlineLevel="0" collapsed="false">
      <c r="A140" s="15" t="s">
        <v>296</v>
      </c>
      <c r="B140" s="17" t="n">
        <v>15</v>
      </c>
      <c r="C140" s="15"/>
      <c r="D140" s="7" t="s">
        <v>29</v>
      </c>
      <c r="E140" s="16" t="s">
        <v>30</v>
      </c>
      <c r="F140" s="16" t="s">
        <v>87</v>
      </c>
      <c r="G140" s="16" t="s">
        <v>133</v>
      </c>
      <c r="H140" s="16" t="s">
        <v>134</v>
      </c>
      <c r="I140" s="18" t="n">
        <v>0</v>
      </c>
      <c r="J140" s="10" t="n">
        <f aca="false">IFERROR(I140/B140,0)</f>
        <v>0</v>
      </c>
      <c r="K140" s="9" t="str">
        <f aca="false">IF(B140=0,"N/A",IF(J140&gt;=1,"Achieved",IF(J140&gt;=0.5,"In Progress","Not Started")))</f>
        <v>Not Started</v>
      </c>
    </row>
    <row r="141" customFormat="false" ht="15" hidden="false" customHeight="false" outlineLevel="0" collapsed="false">
      <c r="A141" s="15" t="s">
        <v>297</v>
      </c>
      <c r="B141" s="17" t="n">
        <v>0</v>
      </c>
      <c r="C141" s="15"/>
      <c r="D141" s="7" t="s">
        <v>31</v>
      </c>
      <c r="E141" s="16" t="s">
        <v>32</v>
      </c>
      <c r="F141" s="16" t="s">
        <v>87</v>
      </c>
      <c r="G141" s="16" t="s">
        <v>92</v>
      </c>
      <c r="H141" s="16" t="s">
        <v>123</v>
      </c>
      <c r="I141" s="18" t="n">
        <v>0</v>
      </c>
      <c r="J141" s="10" t="n">
        <f aca="false">IFERROR(I141/B141,0)</f>
        <v>0</v>
      </c>
      <c r="K141" s="9" t="str">
        <f aca="false">IF(B141=0,"N/A",IF(J141&gt;=1,"Achieved",IF(J141&gt;=0.5,"In Progress","Not Started")))</f>
        <v>N/A</v>
      </c>
    </row>
    <row r="142" customFormat="false" ht="15" hidden="false" customHeight="false" outlineLevel="0" collapsed="false">
      <c r="A142" s="15" t="s">
        <v>298</v>
      </c>
      <c r="B142" s="17" t="n">
        <v>2</v>
      </c>
      <c r="C142" s="15"/>
      <c r="D142" s="7" t="s">
        <v>47</v>
      </c>
      <c r="E142" s="16" t="s">
        <v>48</v>
      </c>
      <c r="F142" s="16" t="s">
        <v>139</v>
      </c>
      <c r="G142" s="16" t="s">
        <v>96</v>
      </c>
      <c r="H142" s="16" t="s">
        <v>123</v>
      </c>
      <c r="I142" s="18" t="n">
        <v>0</v>
      </c>
      <c r="J142" s="10" t="n">
        <f aca="false">IFERROR(I142/B142,0)</f>
        <v>0</v>
      </c>
      <c r="K142" s="9" t="str">
        <f aca="false">IF(B142=0,"N/A",IF(J142&gt;=1,"Achieved",IF(J142&gt;=0.5,"In Progress","Not Started")))</f>
        <v>Not Started</v>
      </c>
    </row>
  </sheetData>
  <autoFilter ref="A3:K1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4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0" t="s">
        <v>22</v>
      </c>
      <c r="B1" s="0" t="s">
        <v>23</v>
      </c>
      <c r="D1" s="0" t="s">
        <v>299</v>
      </c>
    </row>
    <row r="2" customFormat="false" ht="15" hidden="false" customHeight="false" outlineLevel="0" collapsed="false">
      <c r="A2" s="0" t="s">
        <v>29</v>
      </c>
      <c r="B2" s="0" t="s">
        <v>30</v>
      </c>
      <c r="D2" s="0" t="s">
        <v>300</v>
      </c>
    </row>
    <row r="3" customFormat="false" ht="15" hidden="false" customHeight="false" outlineLevel="0" collapsed="false">
      <c r="A3" s="0" t="s">
        <v>31</v>
      </c>
      <c r="B3" s="0" t="s">
        <v>32</v>
      </c>
      <c r="D3" s="0" t="s">
        <v>301</v>
      </c>
    </row>
    <row r="4" customFormat="false" ht="15" hidden="false" customHeight="false" outlineLevel="0" collapsed="false">
      <c r="A4" s="0" t="s">
        <v>33</v>
      </c>
      <c r="B4" s="0" t="s">
        <v>34</v>
      </c>
      <c r="D4" s="0" t="s">
        <v>302</v>
      </c>
    </row>
    <row r="5" customFormat="false" ht="15" hidden="false" customHeight="false" outlineLevel="0" collapsed="false">
      <c r="A5" s="0" t="s">
        <v>35</v>
      </c>
      <c r="B5" s="0" t="s">
        <v>36</v>
      </c>
    </row>
    <row r="6" customFormat="false" ht="15" hidden="false" customHeight="false" outlineLevel="0" collapsed="false">
      <c r="A6" s="0" t="s">
        <v>37</v>
      </c>
      <c r="B6" s="0" t="s">
        <v>38</v>
      </c>
    </row>
    <row r="7" customFormat="false" ht="15" hidden="false" customHeight="false" outlineLevel="0" collapsed="false">
      <c r="A7" s="0" t="s">
        <v>39</v>
      </c>
      <c r="B7" s="0" t="s">
        <v>40</v>
      </c>
    </row>
    <row r="8" customFormat="false" ht="15" hidden="false" customHeight="false" outlineLevel="0" collapsed="false">
      <c r="A8" s="0" t="s">
        <v>41</v>
      </c>
      <c r="B8" s="0" t="s">
        <v>42</v>
      </c>
    </row>
    <row r="9" customFormat="false" ht="15" hidden="false" customHeight="false" outlineLevel="0" collapsed="false">
      <c r="A9" s="0" t="s">
        <v>43</v>
      </c>
      <c r="B9" s="0" t="s">
        <v>44</v>
      </c>
    </row>
    <row r="10" customFormat="false" ht="15" hidden="false" customHeight="false" outlineLevel="0" collapsed="false">
      <c r="A10" s="0" t="s">
        <v>45</v>
      </c>
      <c r="B10" s="0" t="s">
        <v>46</v>
      </c>
    </row>
    <row r="11" customFormat="false" ht="15" hidden="false" customHeight="false" outlineLevel="0" collapsed="false">
      <c r="A11" s="0" t="s">
        <v>47</v>
      </c>
      <c r="B11" s="0" t="s">
        <v>48</v>
      </c>
    </row>
    <row r="12" customFormat="false" ht="15" hidden="false" customHeight="false" outlineLevel="0" collapsed="false">
      <c r="A12" s="0" t="s">
        <v>49</v>
      </c>
      <c r="B12" s="0" t="s">
        <v>50</v>
      </c>
    </row>
    <row r="13" customFormat="false" ht="15" hidden="false" customHeight="false" outlineLevel="0" collapsed="false">
      <c r="A13" s="0" t="s">
        <v>51</v>
      </c>
      <c r="B13" s="0" t="s">
        <v>52</v>
      </c>
    </row>
    <row r="14" customFormat="false" ht="15" hidden="false" customHeight="false" outlineLevel="0" collapsed="false">
      <c r="A14" s="0" t="s">
        <v>53</v>
      </c>
      <c r="B14" s="0" t="s">
        <v>54</v>
      </c>
    </row>
    <row r="15" customFormat="false" ht="15" hidden="false" customHeight="false" outlineLevel="0" collapsed="false">
      <c r="A15" s="0" t="s">
        <v>55</v>
      </c>
      <c r="B15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2026-08-12T09:21:13Z</dcterms:created>
  <dc:creator>openpyxl</dc:creator>
  <dc:description/>
  <dc:language>en-US</dc:language>
  <cp:lastModifiedBy/>
  <dcterms:modified xsi:type="dcterms:W3CDTF">2026-08-12T09:21:25Z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